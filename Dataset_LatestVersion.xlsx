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https://teduedutr-my.sharepoint.com/personal/bdolunay_karacay_tedu_edu_tr/Documents/"/>
    </mc:Choice>
  </mc:AlternateContent>
  <xr:revisionPtr revIDLastSave="2839" documentId="8_{739B3C23-05DF-5447-B175-854E147D95D9}" xr6:coauthVersionLast="47" xr6:coauthVersionMax="47" xr10:uidLastSave="{183C8BAA-C747-194F-9E9D-B70D9C421D33}"/>
  <bookViews>
    <workbookView xWindow="0" yWindow="680" windowWidth="34200" windowHeight="21460" xr2:uid="{00000000-000D-0000-FFFF-FFFF00000000}"/>
  </bookViews>
  <sheets>
    <sheet name="Datase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QyTpfExzuMU3RSQn0T3W31Ik6jGQODFzmdqDJ+j6gNA="/>
    </ext>
  </extLst>
</workbook>
</file>

<file path=xl/calcChain.xml><?xml version="1.0" encoding="utf-8"?>
<calcChain xmlns="http://schemas.openxmlformats.org/spreadsheetml/2006/main">
  <c r="O219" i="1" l="1"/>
  <c r="V219" i="1" s="1"/>
  <c r="O218" i="1"/>
  <c r="V218" i="1" s="1"/>
  <c r="O217" i="1"/>
  <c r="V217" i="1" s="1"/>
  <c r="O216" i="1"/>
  <c r="V216" i="1" s="1"/>
  <c r="L219" i="1"/>
  <c r="L218" i="1"/>
  <c r="T218" i="1" s="1"/>
  <c r="L217" i="1"/>
  <c r="T217" i="1" s="1"/>
  <c r="L216" i="1"/>
  <c r="T216" i="1" s="1"/>
  <c r="O213" i="1"/>
  <c r="O214" i="1"/>
  <c r="O215" i="1"/>
  <c r="L214" i="1"/>
  <c r="L215" i="1"/>
  <c r="L213" i="1"/>
  <c r="T213" i="1" s="1"/>
  <c r="T214" i="1"/>
  <c r="R211" i="1"/>
  <c r="X211" i="1" s="1"/>
  <c r="R212" i="1"/>
  <c r="X212" i="1" s="1"/>
  <c r="R210" i="1"/>
  <c r="X210" i="1" s="1"/>
  <c r="R205" i="1"/>
  <c r="O211" i="1"/>
  <c r="V211" i="1" s="1"/>
  <c r="O212" i="1"/>
  <c r="V212" i="1" s="1"/>
  <c r="O210" i="1"/>
  <c r="V210" i="1" s="1"/>
  <c r="L211" i="1"/>
  <c r="T211" i="1" s="1"/>
  <c r="L212" i="1"/>
  <c r="T212" i="1" s="1"/>
  <c r="L210" i="1"/>
  <c r="L205" i="1"/>
  <c r="R203" i="1"/>
  <c r="X203" i="1" s="1"/>
  <c r="R204" i="1"/>
  <c r="X204" i="1" s="1"/>
  <c r="X205" i="1"/>
  <c r="R202" i="1"/>
  <c r="X202" i="1" s="1"/>
  <c r="R194" i="1"/>
  <c r="O203" i="1"/>
  <c r="V203" i="1" s="1"/>
  <c r="O204" i="1"/>
  <c r="V204" i="1" s="1"/>
  <c r="O205" i="1"/>
  <c r="V205" i="1" s="1"/>
  <c r="O202" i="1"/>
  <c r="V202" i="1" s="1"/>
  <c r="O196" i="1"/>
  <c r="V196" i="1"/>
  <c r="R195" i="1"/>
  <c r="X195" i="1" s="1"/>
  <c r="X194" i="1"/>
  <c r="R193" i="1"/>
  <c r="X193" i="1" s="1"/>
  <c r="R192" i="1"/>
  <c r="X192" i="1" s="1"/>
  <c r="R191" i="1"/>
  <c r="X191" i="1" s="1"/>
  <c r="R190" i="1"/>
  <c r="X190" i="1" s="1"/>
  <c r="R188" i="1"/>
  <c r="X188" i="1" s="1"/>
  <c r="R189" i="1"/>
  <c r="X189" i="1" s="1"/>
  <c r="O195" i="1"/>
  <c r="V195" i="1" s="1"/>
  <c r="O194" i="1"/>
  <c r="V194" i="1" s="1"/>
  <c r="O193" i="1"/>
  <c r="V193" i="1" s="1"/>
  <c r="O192" i="1"/>
  <c r="V192" i="1" s="1"/>
  <c r="O191" i="1"/>
  <c r="V191" i="1" s="1"/>
  <c r="O190" i="1"/>
  <c r="O189" i="1"/>
  <c r="V189" i="1" s="1"/>
  <c r="O188" i="1"/>
  <c r="V188" i="1" s="1"/>
  <c r="R187" i="1"/>
  <c r="X187" i="1" s="1"/>
  <c r="R186" i="1"/>
  <c r="X186" i="1" s="1"/>
  <c r="R167" i="1"/>
  <c r="O187" i="1"/>
  <c r="O186" i="1"/>
  <c r="V186" i="1" s="1"/>
  <c r="O181" i="1"/>
  <c r="V181" i="1" s="1"/>
  <c r="O182" i="1"/>
  <c r="V182" i="1" s="1"/>
  <c r="O183" i="1"/>
  <c r="V183" i="1" s="1"/>
  <c r="V184" i="1"/>
  <c r="O185" i="1"/>
  <c r="V185" i="1" s="1"/>
  <c r="O180" i="1"/>
  <c r="O167" i="1"/>
  <c r="L163" i="1"/>
  <c r="T163" i="1"/>
  <c r="R163" i="1"/>
  <c r="R164" i="1"/>
  <c r="R165" i="1"/>
  <c r="R166" i="1"/>
  <c r="R162" i="1"/>
  <c r="X162" i="1"/>
  <c r="R155" i="1"/>
  <c r="V167" i="1"/>
  <c r="O166" i="1"/>
  <c r="V166" i="1" s="1"/>
  <c r="O165" i="1"/>
  <c r="O164" i="1"/>
  <c r="V164" i="1" s="1"/>
  <c r="O163" i="1"/>
  <c r="V163" i="1"/>
  <c r="O162" i="1"/>
  <c r="V162" i="1" s="1"/>
  <c r="W163" i="1"/>
  <c r="S163" i="1"/>
  <c r="C163" i="1"/>
  <c r="O159" i="1"/>
  <c r="V159" i="1" s="1"/>
  <c r="O160" i="1"/>
  <c r="V160" i="1" s="1"/>
  <c r="O161" i="1"/>
  <c r="V161" i="1" s="1"/>
  <c r="O158" i="1"/>
  <c r="V158" i="1" s="1"/>
  <c r="O157" i="1"/>
  <c r="O156" i="1"/>
  <c r="V156" i="1" s="1"/>
  <c r="X155" i="1"/>
  <c r="R154" i="1"/>
  <c r="R153" i="1"/>
  <c r="O155" i="1"/>
  <c r="V155" i="1" s="1"/>
  <c r="O154" i="1"/>
  <c r="V154" i="1" s="1"/>
  <c r="O153" i="1"/>
  <c r="V153" i="1" s="1"/>
  <c r="R150" i="1"/>
  <c r="R151" i="1"/>
  <c r="R152" i="1"/>
  <c r="R149" i="1"/>
  <c r="R110" i="1"/>
  <c r="O150" i="1"/>
  <c r="V150" i="1" s="1"/>
  <c r="O151" i="1"/>
  <c r="O152" i="1"/>
  <c r="O149" i="1"/>
  <c r="O110" i="1"/>
  <c r="R111" i="1"/>
  <c r="R83" i="1"/>
  <c r="O111" i="1"/>
  <c r="V110" i="1"/>
  <c r="O83" i="1"/>
  <c r="L2" i="1"/>
  <c r="W936" i="1"/>
  <c r="W937" i="1"/>
  <c r="W938" i="1"/>
  <c r="W939" i="1"/>
  <c r="U936" i="1"/>
  <c r="U937" i="1"/>
  <c r="U938" i="1"/>
  <c r="U939" i="1"/>
  <c r="S936" i="1"/>
  <c r="S937" i="1"/>
  <c r="S938" i="1"/>
  <c r="S939" i="1"/>
  <c r="R940" i="1"/>
  <c r="X940" i="1" s="1"/>
  <c r="R941" i="1"/>
  <c r="R942" i="1"/>
  <c r="R943" i="1"/>
  <c r="R939" i="1"/>
  <c r="X939" i="1"/>
  <c r="R938" i="1"/>
  <c r="X938" i="1"/>
  <c r="R937" i="1"/>
  <c r="O943" i="1"/>
  <c r="O942" i="1"/>
  <c r="O941" i="1"/>
  <c r="O940" i="1"/>
  <c r="O939" i="1"/>
  <c r="V939" i="1"/>
  <c r="O938" i="1"/>
  <c r="V938" i="1"/>
  <c r="O937" i="1"/>
  <c r="L943" i="1"/>
  <c r="T943" i="1" s="1"/>
  <c r="L942" i="1"/>
  <c r="L941" i="1"/>
  <c r="L940" i="1"/>
  <c r="L939" i="1"/>
  <c r="T939" i="1"/>
  <c r="L938" i="1"/>
  <c r="T938" i="1"/>
  <c r="L937" i="1"/>
  <c r="C943" i="1"/>
  <c r="C942" i="1"/>
  <c r="C941" i="1"/>
  <c r="C940" i="1"/>
  <c r="C939" i="1"/>
  <c r="C938" i="1"/>
  <c r="C937" i="1"/>
  <c r="W922" i="1"/>
  <c r="W923" i="1"/>
  <c r="W924" i="1"/>
  <c r="W925" i="1"/>
  <c r="W926" i="1"/>
  <c r="W927" i="1"/>
  <c r="W928" i="1"/>
  <c r="W929" i="1"/>
  <c r="W930" i="1"/>
  <c r="W931" i="1"/>
  <c r="W932" i="1"/>
  <c r="W933" i="1"/>
  <c r="W934" i="1"/>
  <c r="W935" i="1"/>
  <c r="U923" i="1"/>
  <c r="U924" i="1"/>
  <c r="U925" i="1"/>
  <c r="U926" i="1"/>
  <c r="U927" i="1"/>
  <c r="U928" i="1"/>
  <c r="U929" i="1"/>
  <c r="U930" i="1"/>
  <c r="U931" i="1"/>
  <c r="U932" i="1"/>
  <c r="U933" i="1"/>
  <c r="U934" i="1"/>
  <c r="U935" i="1"/>
  <c r="U940" i="1"/>
  <c r="U941" i="1"/>
  <c r="U942" i="1"/>
  <c r="S922" i="1"/>
  <c r="S923" i="1"/>
  <c r="S924" i="1"/>
  <c r="S925" i="1"/>
  <c r="S926" i="1"/>
  <c r="S927" i="1"/>
  <c r="S928" i="1"/>
  <c r="S929" i="1"/>
  <c r="S930" i="1"/>
  <c r="S931" i="1"/>
  <c r="S932" i="1"/>
  <c r="S933" i="1"/>
  <c r="S934" i="1"/>
  <c r="S935" i="1"/>
  <c r="S940" i="1"/>
  <c r="S941" i="1"/>
  <c r="S942" i="1"/>
  <c r="S943" i="1"/>
  <c r="R936" i="1"/>
  <c r="R935" i="1"/>
  <c r="R934" i="1"/>
  <c r="R933" i="1"/>
  <c r="R932" i="1"/>
  <c r="X932" i="1"/>
  <c r="R931" i="1"/>
  <c r="X931" i="1"/>
  <c r="R930" i="1"/>
  <c r="X930" i="1"/>
  <c r="R929" i="1"/>
  <c r="O936" i="1"/>
  <c r="O935" i="1"/>
  <c r="O934" i="1"/>
  <c r="O933" i="1"/>
  <c r="O932" i="1"/>
  <c r="V932" i="1"/>
  <c r="O931" i="1"/>
  <c r="V931" i="1"/>
  <c r="O930" i="1"/>
  <c r="V930" i="1"/>
  <c r="O929" i="1"/>
  <c r="L936" i="1"/>
  <c r="L935" i="1"/>
  <c r="L934" i="1"/>
  <c r="L933" i="1"/>
  <c r="L932" i="1"/>
  <c r="T932" i="1"/>
  <c r="L931" i="1"/>
  <c r="T931" i="1"/>
  <c r="L930" i="1"/>
  <c r="T930" i="1"/>
  <c r="L929" i="1"/>
  <c r="T929" i="1" s="1"/>
  <c r="C936" i="1"/>
  <c r="C935" i="1"/>
  <c r="C934" i="1"/>
  <c r="C933" i="1"/>
  <c r="C932" i="1"/>
  <c r="C931" i="1"/>
  <c r="C930" i="1"/>
  <c r="C929" i="1"/>
  <c r="X929" i="1"/>
  <c r="X933" i="1"/>
  <c r="X934" i="1"/>
  <c r="X935" i="1"/>
  <c r="X936" i="1"/>
  <c r="W915" i="1"/>
  <c r="W916" i="1"/>
  <c r="W917" i="1"/>
  <c r="W918" i="1"/>
  <c r="W919" i="1"/>
  <c r="W920" i="1"/>
  <c r="W921" i="1"/>
  <c r="V929" i="1"/>
  <c r="V933" i="1"/>
  <c r="V934" i="1"/>
  <c r="V935" i="1"/>
  <c r="V936" i="1"/>
  <c r="V937" i="1"/>
  <c r="V940" i="1"/>
  <c r="V941" i="1"/>
  <c r="V942" i="1"/>
  <c r="V943" i="1"/>
  <c r="U913" i="1"/>
  <c r="U914" i="1"/>
  <c r="U915" i="1"/>
  <c r="U916" i="1"/>
  <c r="U917" i="1"/>
  <c r="U918" i="1"/>
  <c r="U919" i="1"/>
  <c r="U920" i="1"/>
  <c r="U921" i="1"/>
  <c r="U922" i="1"/>
  <c r="U943" i="1"/>
  <c r="S916" i="1"/>
  <c r="S917" i="1"/>
  <c r="S918" i="1"/>
  <c r="S919" i="1"/>
  <c r="S920" i="1"/>
  <c r="S921" i="1"/>
  <c r="R919" i="1"/>
  <c r="X919" i="1" s="1"/>
  <c r="R920" i="1"/>
  <c r="X920" i="1" s="1"/>
  <c r="R921" i="1"/>
  <c r="X921" i="1" s="1"/>
  <c r="R922" i="1"/>
  <c r="X922" i="1" s="1"/>
  <c r="R923" i="1"/>
  <c r="X923" i="1" s="1"/>
  <c r="R924" i="1"/>
  <c r="X924" i="1" s="1"/>
  <c r="R925" i="1"/>
  <c r="X925" i="1" s="1"/>
  <c r="R926" i="1"/>
  <c r="X926" i="1" s="1"/>
  <c r="R927" i="1"/>
  <c r="X927" i="1" s="1"/>
  <c r="R928" i="1"/>
  <c r="X928" i="1" s="1"/>
  <c r="O919" i="1"/>
  <c r="V919" i="1" s="1"/>
  <c r="O920" i="1"/>
  <c r="V920" i="1" s="1"/>
  <c r="O921" i="1"/>
  <c r="V921" i="1" s="1"/>
  <c r="O922" i="1"/>
  <c r="V922" i="1" s="1"/>
  <c r="O923" i="1"/>
  <c r="V923" i="1" s="1"/>
  <c r="O924" i="1"/>
  <c r="V924" i="1" s="1"/>
  <c r="O925" i="1"/>
  <c r="V925" i="1" s="1"/>
  <c r="O926" i="1"/>
  <c r="V926" i="1" s="1"/>
  <c r="O927" i="1"/>
  <c r="V927" i="1" s="1"/>
  <c r="O928" i="1"/>
  <c r="V928" i="1" s="1"/>
  <c r="L928" i="1"/>
  <c r="T928" i="1" s="1"/>
  <c r="L927" i="1"/>
  <c r="T927" i="1" s="1"/>
  <c r="L926" i="1"/>
  <c r="T926" i="1" s="1"/>
  <c r="L925" i="1"/>
  <c r="L924" i="1"/>
  <c r="T924" i="1"/>
  <c r="L923" i="1"/>
  <c r="T923" i="1"/>
  <c r="L922" i="1"/>
  <c r="T922" i="1"/>
  <c r="L921" i="1"/>
  <c r="T921" i="1"/>
  <c r="L920" i="1"/>
  <c r="T920" i="1"/>
  <c r="L919" i="1"/>
  <c r="T919" i="1" s="1"/>
  <c r="C928" i="1"/>
  <c r="C927" i="1"/>
  <c r="C926" i="1"/>
  <c r="C925" i="1"/>
  <c r="C924" i="1"/>
  <c r="C923" i="1"/>
  <c r="C922" i="1"/>
  <c r="C921" i="1"/>
  <c r="C920" i="1"/>
  <c r="C919" i="1"/>
  <c r="X937" i="1"/>
  <c r="X941" i="1"/>
  <c r="X942" i="1"/>
  <c r="W907" i="1"/>
  <c r="W908" i="1"/>
  <c r="W909" i="1"/>
  <c r="W910" i="1"/>
  <c r="W911" i="1"/>
  <c r="W912" i="1"/>
  <c r="W913" i="1"/>
  <c r="W914" i="1"/>
  <c r="U909" i="1"/>
  <c r="U910" i="1"/>
  <c r="U911" i="1"/>
  <c r="U912" i="1"/>
  <c r="R911" i="1"/>
  <c r="X911" i="1" s="1"/>
  <c r="R912" i="1"/>
  <c r="X912" i="1" s="1"/>
  <c r="R913" i="1"/>
  <c r="X913" i="1" s="1"/>
  <c r="R914" i="1"/>
  <c r="X914" i="1" s="1"/>
  <c r="R915" i="1"/>
  <c r="X915" i="1" s="1"/>
  <c r="R916" i="1"/>
  <c r="X916" i="1" s="1"/>
  <c r="R917" i="1"/>
  <c r="X917" i="1" s="1"/>
  <c r="R918" i="1"/>
  <c r="X918" i="1" s="1"/>
  <c r="O911" i="1"/>
  <c r="V911" i="1" s="1"/>
  <c r="O912" i="1"/>
  <c r="V912" i="1" s="1"/>
  <c r="O913" i="1"/>
  <c r="V913" i="1" s="1"/>
  <c r="O914" i="1"/>
  <c r="V914" i="1" s="1"/>
  <c r="O915" i="1"/>
  <c r="V915" i="1" s="1"/>
  <c r="O916" i="1"/>
  <c r="V916" i="1" s="1"/>
  <c r="O917" i="1"/>
  <c r="V917" i="1" s="1"/>
  <c r="O918" i="1"/>
  <c r="V918" i="1" s="1"/>
  <c r="L918" i="1"/>
  <c r="T918" i="1" s="1"/>
  <c r="L917" i="1"/>
  <c r="T917" i="1" s="1"/>
  <c r="L916" i="1"/>
  <c r="L915" i="1"/>
  <c r="T915" i="1" s="1"/>
  <c r="L914" i="1"/>
  <c r="T914" i="1"/>
  <c r="L913" i="1"/>
  <c r="T913" i="1"/>
  <c r="L912" i="1"/>
  <c r="T912" i="1"/>
  <c r="L911" i="1"/>
  <c r="T911" i="1" s="1"/>
  <c r="S914" i="1"/>
  <c r="S913" i="1"/>
  <c r="S912" i="1"/>
  <c r="C918" i="1"/>
  <c r="C917" i="1"/>
  <c r="C916" i="1"/>
  <c r="C915" i="1"/>
  <c r="C914" i="1"/>
  <c r="C913" i="1"/>
  <c r="C912" i="1"/>
  <c r="C911" i="1"/>
  <c r="T937" i="1"/>
  <c r="T940" i="1"/>
  <c r="W940" i="1"/>
  <c r="T941" i="1"/>
  <c r="W941" i="1"/>
  <c r="T942" i="1"/>
  <c r="W942" i="1"/>
  <c r="W943" i="1"/>
  <c r="X943" i="1"/>
  <c r="R910" i="1"/>
  <c r="X910" i="1" s="1"/>
  <c r="R909" i="1"/>
  <c r="X909" i="1" s="1"/>
  <c r="O910" i="1"/>
  <c r="V910" i="1" s="1"/>
  <c r="O909" i="1"/>
  <c r="V909" i="1" s="1"/>
  <c r="L910" i="1"/>
  <c r="T910" i="1" s="1"/>
  <c r="L909" i="1"/>
  <c r="C910" i="1"/>
  <c r="C909" i="1"/>
  <c r="W891" i="1"/>
  <c r="W892" i="1"/>
  <c r="W893" i="1"/>
  <c r="W894" i="1"/>
  <c r="W895" i="1"/>
  <c r="W896" i="1"/>
  <c r="W897" i="1"/>
  <c r="W898" i="1"/>
  <c r="W899" i="1"/>
  <c r="W900" i="1"/>
  <c r="W901" i="1"/>
  <c r="W902" i="1"/>
  <c r="W903" i="1"/>
  <c r="W904" i="1"/>
  <c r="W905" i="1"/>
  <c r="W906" i="1"/>
  <c r="U890" i="1"/>
  <c r="U891" i="1"/>
  <c r="U892" i="1"/>
  <c r="U893" i="1"/>
  <c r="U894" i="1"/>
  <c r="U895" i="1"/>
  <c r="U896" i="1"/>
  <c r="U897" i="1"/>
  <c r="U898" i="1"/>
  <c r="U899" i="1"/>
  <c r="U900" i="1"/>
  <c r="U901" i="1"/>
  <c r="U902" i="1"/>
  <c r="U903" i="1"/>
  <c r="U904" i="1"/>
  <c r="U905" i="1"/>
  <c r="S893" i="1"/>
  <c r="S894" i="1"/>
  <c r="S895" i="1"/>
  <c r="S896" i="1"/>
  <c r="S897" i="1"/>
  <c r="S898" i="1"/>
  <c r="S899" i="1"/>
  <c r="S900" i="1"/>
  <c r="S901" i="1"/>
  <c r="S902" i="1"/>
  <c r="S903" i="1"/>
  <c r="S904" i="1"/>
  <c r="S905" i="1"/>
  <c r="S906" i="1"/>
  <c r="S907" i="1"/>
  <c r="S908" i="1"/>
  <c r="R892" i="1"/>
  <c r="X892" i="1" s="1"/>
  <c r="R893" i="1"/>
  <c r="X893" i="1" s="1"/>
  <c r="R894" i="1"/>
  <c r="X894" i="1" s="1"/>
  <c r="R895" i="1"/>
  <c r="X895" i="1" s="1"/>
  <c r="R896" i="1"/>
  <c r="X896" i="1" s="1"/>
  <c r="R897" i="1"/>
  <c r="X897" i="1" s="1"/>
  <c r="R898" i="1"/>
  <c r="X898" i="1" s="1"/>
  <c r="R899" i="1"/>
  <c r="X899" i="1" s="1"/>
  <c r="R900" i="1"/>
  <c r="X900" i="1" s="1"/>
  <c r="R901" i="1"/>
  <c r="X901" i="1" s="1"/>
  <c r="R902" i="1"/>
  <c r="X902" i="1" s="1"/>
  <c r="R903" i="1"/>
  <c r="X903" i="1" s="1"/>
  <c r="R904" i="1"/>
  <c r="X904" i="1" s="1"/>
  <c r="R905" i="1"/>
  <c r="X905" i="1" s="1"/>
  <c r="R906" i="1"/>
  <c r="X906" i="1" s="1"/>
  <c r="R907" i="1"/>
  <c r="X907" i="1" s="1"/>
  <c r="R908" i="1"/>
  <c r="X908" i="1" s="1"/>
  <c r="O908" i="1"/>
  <c r="V908" i="1" s="1"/>
  <c r="O907" i="1"/>
  <c r="V907" i="1" s="1"/>
  <c r="O906" i="1"/>
  <c r="V906" i="1" s="1"/>
  <c r="O905" i="1"/>
  <c r="V905" i="1" s="1"/>
  <c r="O904" i="1"/>
  <c r="V904" i="1" s="1"/>
  <c r="O903" i="1"/>
  <c r="V903" i="1"/>
  <c r="O902" i="1"/>
  <c r="V902" i="1"/>
  <c r="O901" i="1"/>
  <c r="V901" i="1"/>
  <c r="O900" i="1"/>
  <c r="V900" i="1"/>
  <c r="O899" i="1"/>
  <c r="V899" i="1" s="1"/>
  <c r="O898" i="1"/>
  <c r="V898" i="1"/>
  <c r="O897" i="1"/>
  <c r="V897" i="1"/>
  <c r="O896" i="1"/>
  <c r="V896" i="1"/>
  <c r="O895" i="1"/>
  <c r="V895" i="1" s="1"/>
  <c r="O894" i="1"/>
  <c r="V894" i="1"/>
  <c r="O893" i="1"/>
  <c r="V893" i="1"/>
  <c r="O892" i="1"/>
  <c r="V892" i="1" s="1"/>
  <c r="L908" i="1"/>
  <c r="L907" i="1"/>
  <c r="L906" i="1"/>
  <c r="T906" i="1" s="1"/>
  <c r="L905" i="1"/>
  <c r="T905" i="1" s="1"/>
  <c r="L904" i="1"/>
  <c r="T904" i="1"/>
  <c r="L903" i="1"/>
  <c r="T903" i="1"/>
  <c r="L902" i="1"/>
  <c r="T902" i="1" s="1"/>
  <c r="L901" i="1"/>
  <c r="T901" i="1"/>
  <c r="L900" i="1"/>
  <c r="T900" i="1"/>
  <c r="L899" i="1"/>
  <c r="T899" i="1"/>
  <c r="L898" i="1"/>
  <c r="T898" i="1"/>
  <c r="L897" i="1"/>
  <c r="T897" i="1"/>
  <c r="L896" i="1"/>
  <c r="T896" i="1"/>
  <c r="L895" i="1"/>
  <c r="T895" i="1" s="1"/>
  <c r="L894" i="1"/>
  <c r="T894" i="1"/>
  <c r="L893" i="1"/>
  <c r="T893" i="1"/>
  <c r="L892" i="1"/>
  <c r="T892" i="1" s="1"/>
  <c r="C908" i="1"/>
  <c r="C907" i="1"/>
  <c r="C906" i="1"/>
  <c r="C905" i="1"/>
  <c r="C904" i="1"/>
  <c r="C903" i="1"/>
  <c r="C902" i="1"/>
  <c r="C901" i="1"/>
  <c r="C900" i="1"/>
  <c r="C899" i="1"/>
  <c r="C898" i="1"/>
  <c r="C897" i="1"/>
  <c r="C896" i="1"/>
  <c r="C895" i="1"/>
  <c r="C894" i="1"/>
  <c r="C893" i="1"/>
  <c r="C892" i="1"/>
  <c r="R888" i="1"/>
  <c r="X888" i="1" s="1"/>
  <c r="R889" i="1"/>
  <c r="X889" i="1" s="1"/>
  <c r="R890" i="1"/>
  <c r="X890" i="1" s="1"/>
  <c r="R891" i="1"/>
  <c r="X891" i="1" s="1"/>
  <c r="O888" i="1"/>
  <c r="O889" i="1"/>
  <c r="V889" i="1" s="1"/>
  <c r="O890" i="1"/>
  <c r="O891" i="1"/>
  <c r="L891" i="1"/>
  <c r="L890" i="1"/>
  <c r="T890" i="1" s="1"/>
  <c r="L889" i="1"/>
  <c r="L888" i="1"/>
  <c r="T888" i="1" s="1"/>
  <c r="C891" i="1"/>
  <c r="C890" i="1"/>
  <c r="C889" i="1"/>
  <c r="C888" i="1"/>
  <c r="R887" i="1"/>
  <c r="X887" i="1" s="1"/>
  <c r="R881" i="1"/>
  <c r="X881" i="1" s="1"/>
  <c r="R882" i="1"/>
  <c r="X882" i="1" s="1"/>
  <c r="R883" i="1"/>
  <c r="X883" i="1" s="1"/>
  <c r="R884" i="1"/>
  <c r="X884" i="1" s="1"/>
  <c r="R885" i="1"/>
  <c r="X885" i="1" s="1"/>
  <c r="R886" i="1"/>
  <c r="X886" i="1" s="1"/>
  <c r="O881" i="1"/>
  <c r="V881" i="1" s="1"/>
  <c r="O882" i="1"/>
  <c r="V882" i="1" s="1"/>
  <c r="O883" i="1"/>
  <c r="V883" i="1" s="1"/>
  <c r="O884" i="1"/>
  <c r="V884" i="1" s="1"/>
  <c r="O885" i="1"/>
  <c r="V885" i="1" s="1"/>
  <c r="O886" i="1"/>
  <c r="V886" i="1" s="1"/>
  <c r="O887" i="1"/>
  <c r="V887" i="1" s="1"/>
  <c r="W874" i="1"/>
  <c r="W875" i="1"/>
  <c r="W876" i="1"/>
  <c r="W877" i="1"/>
  <c r="W878" i="1"/>
  <c r="W879" i="1"/>
  <c r="W880" i="1"/>
  <c r="W881" i="1"/>
  <c r="W882" i="1"/>
  <c r="W883" i="1"/>
  <c r="W884" i="1"/>
  <c r="W885" i="1"/>
  <c r="U872" i="1"/>
  <c r="U873" i="1"/>
  <c r="U874" i="1"/>
  <c r="U875" i="1"/>
  <c r="U876" i="1"/>
  <c r="U877" i="1"/>
  <c r="U878" i="1"/>
  <c r="U879" i="1"/>
  <c r="U880" i="1"/>
  <c r="U881" i="1"/>
  <c r="U882" i="1"/>
  <c r="U883" i="1"/>
  <c r="U884" i="1"/>
  <c r="U885" i="1"/>
  <c r="S882" i="1"/>
  <c r="S883" i="1"/>
  <c r="L887" i="1"/>
  <c r="L886" i="1"/>
  <c r="T886" i="1" s="1"/>
  <c r="L885" i="1"/>
  <c r="L884" i="1"/>
  <c r="L883" i="1"/>
  <c r="T883" i="1"/>
  <c r="L882" i="1"/>
  <c r="T882" i="1" s="1"/>
  <c r="L881" i="1"/>
  <c r="T881" i="1" s="1"/>
  <c r="C887" i="1"/>
  <c r="C886" i="1"/>
  <c r="C885" i="1"/>
  <c r="C884" i="1"/>
  <c r="C883" i="1"/>
  <c r="C882" i="1"/>
  <c r="C881" i="1"/>
  <c r="R880" i="1"/>
  <c r="X880" i="1" s="1"/>
  <c r="R879" i="1"/>
  <c r="X879" i="1" s="1"/>
  <c r="R878" i="1"/>
  <c r="X878" i="1" s="1"/>
  <c r="R877" i="1"/>
  <c r="X877" i="1" s="1"/>
  <c r="R876" i="1"/>
  <c r="X876" i="1" s="1"/>
  <c r="O880" i="1"/>
  <c r="V880" i="1" s="1"/>
  <c r="O879" i="1"/>
  <c r="V879" i="1" s="1"/>
  <c r="O878" i="1"/>
  <c r="V878" i="1" s="1"/>
  <c r="O877" i="1"/>
  <c r="V877" i="1" s="1"/>
  <c r="O876" i="1"/>
  <c r="V876" i="1" s="1"/>
  <c r="L880" i="1"/>
  <c r="L879" i="1"/>
  <c r="T879" i="1" s="1"/>
  <c r="L878" i="1"/>
  <c r="T878" i="1" s="1"/>
  <c r="L877" i="1"/>
  <c r="T877" i="1" s="1"/>
  <c r="L876" i="1"/>
  <c r="T876" i="1" s="1"/>
  <c r="C880" i="1"/>
  <c r="C879" i="1"/>
  <c r="C878" i="1"/>
  <c r="C877" i="1"/>
  <c r="C876" i="1"/>
  <c r="R875" i="1"/>
  <c r="X875" i="1" s="1"/>
  <c r="R874" i="1"/>
  <c r="X874" i="1" s="1"/>
  <c r="R873" i="1"/>
  <c r="X873" i="1" s="1"/>
  <c r="R872" i="1"/>
  <c r="X872" i="1" s="1"/>
  <c r="R871" i="1"/>
  <c r="X871" i="1" s="1"/>
  <c r="O875" i="1"/>
  <c r="V875" i="1" s="1"/>
  <c r="O874" i="1"/>
  <c r="V874" i="1" s="1"/>
  <c r="O873" i="1"/>
  <c r="V873" i="1" s="1"/>
  <c r="O872" i="1"/>
  <c r="V872" i="1" s="1"/>
  <c r="O871" i="1"/>
  <c r="V871" i="1" s="1"/>
  <c r="L875" i="1"/>
  <c r="T875" i="1" s="1"/>
  <c r="L874" i="1"/>
  <c r="L873" i="1"/>
  <c r="L872" i="1"/>
  <c r="L871" i="1"/>
  <c r="T871" i="1" s="1"/>
  <c r="C875" i="1"/>
  <c r="C874" i="1"/>
  <c r="C873" i="1"/>
  <c r="C872" i="1"/>
  <c r="C871" i="1"/>
  <c r="W862" i="1"/>
  <c r="R870" i="1"/>
  <c r="X870" i="1" s="1"/>
  <c r="R869" i="1"/>
  <c r="X869" i="1" s="1"/>
  <c r="R868" i="1"/>
  <c r="X868" i="1" s="1"/>
  <c r="R867" i="1"/>
  <c r="X867" i="1" s="1"/>
  <c r="R866" i="1"/>
  <c r="X866" i="1" s="1"/>
  <c r="O870" i="1"/>
  <c r="O869" i="1"/>
  <c r="V869" i="1" s="1"/>
  <c r="O868" i="1"/>
  <c r="V868" i="1" s="1"/>
  <c r="O867" i="1"/>
  <c r="V867" i="1" s="1"/>
  <c r="O866" i="1"/>
  <c r="L870" i="1"/>
  <c r="T870" i="1" s="1"/>
  <c r="L869" i="1"/>
  <c r="L868" i="1"/>
  <c r="T868" i="1" s="1"/>
  <c r="L867" i="1"/>
  <c r="L866" i="1"/>
  <c r="C870" i="1"/>
  <c r="C869" i="1"/>
  <c r="C868" i="1"/>
  <c r="C867" i="1"/>
  <c r="C866" i="1"/>
  <c r="R865" i="1"/>
  <c r="X865" i="1" s="1"/>
  <c r="R864" i="1"/>
  <c r="X864" i="1" s="1"/>
  <c r="R863" i="1"/>
  <c r="X863" i="1" s="1"/>
  <c r="R862" i="1"/>
  <c r="X862" i="1" s="1"/>
  <c r="R861" i="1"/>
  <c r="X861" i="1" s="1"/>
  <c r="R860" i="1"/>
  <c r="X860" i="1" s="1"/>
  <c r="O865" i="1"/>
  <c r="O864" i="1"/>
  <c r="V864" i="1" s="1"/>
  <c r="O863" i="1"/>
  <c r="O862" i="1"/>
  <c r="V862" i="1"/>
  <c r="O861" i="1"/>
  <c r="V861" i="1" s="1"/>
  <c r="O860" i="1"/>
  <c r="V860" i="1" s="1"/>
  <c r="U862" i="1"/>
  <c r="L865" i="1"/>
  <c r="L864" i="1"/>
  <c r="L863" i="1"/>
  <c r="T863" i="1" s="1"/>
  <c r="L862" i="1"/>
  <c r="T862" i="1" s="1"/>
  <c r="L861" i="1"/>
  <c r="T861" i="1" s="1"/>
  <c r="L860" i="1"/>
  <c r="S862" i="1"/>
  <c r="C865" i="1"/>
  <c r="C864" i="1"/>
  <c r="C863" i="1"/>
  <c r="C862" i="1"/>
  <c r="C861" i="1"/>
  <c r="C860" i="1"/>
  <c r="S856" i="1"/>
  <c r="U856" i="1"/>
  <c r="W856" i="1"/>
  <c r="R850" i="1"/>
  <c r="X850" i="1" s="1"/>
  <c r="R851" i="1"/>
  <c r="X851" i="1" s="1"/>
  <c r="R852" i="1"/>
  <c r="X852" i="1" s="1"/>
  <c r="R853" i="1"/>
  <c r="X853" i="1" s="1"/>
  <c r="R854" i="1"/>
  <c r="X854" i="1" s="1"/>
  <c r="R855" i="1"/>
  <c r="X855" i="1" s="1"/>
  <c r="R856" i="1"/>
  <c r="X856" i="1" s="1"/>
  <c r="R857" i="1"/>
  <c r="X857" i="1" s="1"/>
  <c r="R858" i="1"/>
  <c r="X858" i="1" s="1"/>
  <c r="R859" i="1"/>
  <c r="X859" i="1" s="1"/>
  <c r="O859" i="1"/>
  <c r="V859" i="1" s="1"/>
  <c r="O858" i="1"/>
  <c r="V858" i="1" s="1"/>
  <c r="O857" i="1"/>
  <c r="V857" i="1" s="1"/>
  <c r="O856" i="1"/>
  <c r="V856" i="1" s="1"/>
  <c r="O855" i="1"/>
  <c r="O854" i="1"/>
  <c r="V854" i="1" s="1"/>
  <c r="L859" i="1"/>
  <c r="L858" i="1"/>
  <c r="T858" i="1" s="1"/>
  <c r="L857" i="1"/>
  <c r="T857" i="1" s="1"/>
  <c r="L856" i="1"/>
  <c r="T856" i="1" s="1"/>
  <c r="L855" i="1"/>
  <c r="T855" i="1" s="1"/>
  <c r="L854" i="1"/>
  <c r="T854" i="1" s="1"/>
  <c r="C859" i="1"/>
  <c r="C858" i="1"/>
  <c r="C857" i="1"/>
  <c r="C856" i="1"/>
  <c r="C855" i="1"/>
  <c r="C854" i="1"/>
  <c r="W849" i="1"/>
  <c r="O853" i="1"/>
  <c r="V853" i="1" s="1"/>
  <c r="O852" i="1"/>
  <c r="O851" i="1"/>
  <c r="V851" i="1" s="1"/>
  <c r="O850" i="1"/>
  <c r="V850" i="1" s="1"/>
  <c r="L853" i="1"/>
  <c r="T853" i="1" s="1"/>
  <c r="L852" i="1"/>
  <c r="T852" i="1" s="1"/>
  <c r="L851" i="1"/>
  <c r="T851" i="1" s="1"/>
  <c r="L850" i="1"/>
  <c r="T850" i="1" s="1"/>
  <c r="C853" i="1"/>
  <c r="C852" i="1"/>
  <c r="C851" i="1"/>
  <c r="C850" i="1"/>
  <c r="X839" i="1"/>
  <c r="X840" i="1"/>
  <c r="R845" i="1"/>
  <c r="X845" i="1" s="1"/>
  <c r="R846" i="1"/>
  <c r="X846" i="1" s="1"/>
  <c r="R847" i="1"/>
  <c r="X847" i="1" s="1"/>
  <c r="R848" i="1"/>
  <c r="X848" i="1" s="1"/>
  <c r="R849" i="1"/>
  <c r="X849" i="1" s="1"/>
  <c r="V844" i="1"/>
  <c r="O845" i="1"/>
  <c r="V845" i="1" s="1"/>
  <c r="O846" i="1"/>
  <c r="V846" i="1" s="1"/>
  <c r="O847" i="1"/>
  <c r="V847" i="1" s="1"/>
  <c r="O848" i="1"/>
  <c r="V848" i="1" s="1"/>
  <c r="O849" i="1"/>
  <c r="V849" i="1" s="1"/>
  <c r="L849" i="1"/>
  <c r="L848" i="1"/>
  <c r="L847" i="1"/>
  <c r="L846" i="1"/>
  <c r="L845" i="1"/>
  <c r="T845" i="1" s="1"/>
  <c r="C849" i="1"/>
  <c r="C848" i="1"/>
  <c r="C847" i="1"/>
  <c r="C846" i="1"/>
  <c r="C845" i="1"/>
  <c r="W841" i="1"/>
  <c r="X841" i="1"/>
  <c r="V841" i="1"/>
  <c r="U841" i="1"/>
  <c r="O842" i="1"/>
  <c r="V842" i="1" s="1"/>
  <c r="O843" i="1"/>
  <c r="V843" i="1" s="1"/>
  <c r="O840" i="1"/>
  <c r="V840" i="1" s="1"/>
  <c r="O839" i="1"/>
  <c r="V839" i="1" s="1"/>
  <c r="L844" i="1"/>
  <c r="T844" i="1" s="1"/>
  <c r="L843" i="1"/>
  <c r="L842" i="1"/>
  <c r="T842" i="1" s="1"/>
  <c r="L841" i="1"/>
  <c r="T841" i="1"/>
  <c r="L840" i="1"/>
  <c r="L839" i="1"/>
  <c r="T839" i="1" s="1"/>
  <c r="S841" i="1"/>
  <c r="C844" i="1"/>
  <c r="C843" i="1"/>
  <c r="C842" i="1"/>
  <c r="C841" i="1"/>
  <c r="C840" i="1"/>
  <c r="C839" i="1"/>
  <c r="T933" i="1"/>
  <c r="T934" i="1"/>
  <c r="T935" i="1"/>
  <c r="T936" i="1"/>
  <c r="R838" i="1"/>
  <c r="X838" i="1" s="1"/>
  <c r="R837" i="1"/>
  <c r="X837" i="1" s="1"/>
  <c r="R836" i="1"/>
  <c r="X836" i="1" s="1"/>
  <c r="R835" i="1"/>
  <c r="X835" i="1" s="1"/>
  <c r="R834" i="1"/>
  <c r="R833" i="1"/>
  <c r="R832" i="1"/>
  <c r="X832" i="1" s="1"/>
  <c r="X833" i="1"/>
  <c r="X834" i="1"/>
  <c r="W832" i="1"/>
  <c r="W833" i="1"/>
  <c r="W834" i="1"/>
  <c r="U833" i="1"/>
  <c r="U834" i="1"/>
  <c r="S833" i="1"/>
  <c r="S834" i="1"/>
  <c r="O838" i="1"/>
  <c r="V838" i="1" s="1"/>
  <c r="O837" i="1"/>
  <c r="V837" i="1" s="1"/>
  <c r="O836" i="1"/>
  <c r="V836" i="1" s="1"/>
  <c r="O835" i="1"/>
  <c r="O834" i="1"/>
  <c r="V834" i="1" s="1"/>
  <c r="O833" i="1"/>
  <c r="V833" i="1" s="1"/>
  <c r="O832" i="1"/>
  <c r="V832" i="1" s="1"/>
  <c r="L838" i="1"/>
  <c r="L837" i="1"/>
  <c r="L836" i="1"/>
  <c r="L835" i="1"/>
  <c r="T835" i="1" s="1"/>
  <c r="L834" i="1"/>
  <c r="T834" i="1"/>
  <c r="L833" i="1"/>
  <c r="T833" i="1" s="1"/>
  <c r="L832" i="1"/>
  <c r="C838" i="1"/>
  <c r="C837" i="1"/>
  <c r="C836" i="1"/>
  <c r="C835" i="1"/>
  <c r="C834" i="1"/>
  <c r="C833" i="1"/>
  <c r="C832" i="1"/>
  <c r="X3" i="1"/>
  <c r="X4" i="1"/>
  <c r="X23" i="1"/>
  <c r="X24" i="1"/>
  <c r="X25" i="1"/>
  <c r="X37" i="1"/>
  <c r="X38" i="1"/>
  <c r="X39" i="1"/>
  <c r="X40" i="1"/>
  <c r="X41" i="1"/>
  <c r="X42" i="1"/>
  <c r="X43" i="1"/>
  <c r="X44" i="1"/>
  <c r="X45" i="1"/>
  <c r="X46" i="1"/>
  <c r="X47" i="1"/>
  <c r="X48" i="1"/>
  <c r="X49" i="1"/>
  <c r="X50" i="1"/>
  <c r="X51" i="1"/>
  <c r="X52" i="1"/>
  <c r="X53" i="1"/>
  <c r="X54" i="1"/>
  <c r="X55" i="1"/>
  <c r="X56" i="1"/>
  <c r="X57" i="1"/>
  <c r="X58" i="1"/>
  <c r="X59" i="1"/>
  <c r="X60" i="1"/>
  <c r="X64" i="1"/>
  <c r="X65" i="1"/>
  <c r="X66" i="1"/>
  <c r="X73" i="1"/>
  <c r="X74" i="1"/>
  <c r="X75" i="1"/>
  <c r="X76" i="1"/>
  <c r="X77" i="1"/>
  <c r="X78" i="1"/>
  <c r="X79" i="1"/>
  <c r="X80"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6" i="1"/>
  <c r="X157" i="1"/>
  <c r="X158" i="1"/>
  <c r="X159" i="1"/>
  <c r="X160" i="1"/>
  <c r="X161" i="1"/>
  <c r="X164" i="1"/>
  <c r="X165" i="1"/>
  <c r="X166" i="1"/>
  <c r="X167" i="1"/>
  <c r="X168" i="1"/>
  <c r="X169" i="1"/>
  <c r="X170" i="1"/>
  <c r="X171" i="1"/>
  <c r="X172" i="1"/>
  <c r="X173" i="1"/>
  <c r="X174" i="1"/>
  <c r="X175" i="1"/>
  <c r="X176" i="1"/>
  <c r="X177" i="1"/>
  <c r="X178" i="1"/>
  <c r="X179" i="1"/>
  <c r="X180" i="1"/>
  <c r="X181" i="1"/>
  <c r="X182" i="1"/>
  <c r="X183" i="1"/>
  <c r="X184" i="1"/>
  <c r="X185" i="1"/>
  <c r="X196" i="1"/>
  <c r="X197" i="1"/>
  <c r="X198" i="1"/>
  <c r="X199" i="1"/>
  <c r="X200" i="1"/>
  <c r="X201" i="1"/>
  <c r="X206" i="1"/>
  <c r="X207" i="1"/>
  <c r="X208" i="1"/>
  <c r="X209" i="1"/>
  <c r="X213" i="1"/>
  <c r="X214" i="1"/>
  <c r="X215" i="1"/>
  <c r="X216" i="1"/>
  <c r="X217" i="1"/>
  <c r="X218" i="1"/>
  <c r="X219" i="1"/>
  <c r="X257" i="1"/>
  <c r="X258" i="1"/>
  <c r="X259"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1" i="1"/>
  <c r="X292" i="1"/>
  <c r="X293" i="1"/>
  <c r="X295" i="1"/>
  <c r="X296" i="1"/>
  <c r="X315" i="1"/>
  <c r="X316" i="1"/>
  <c r="X317" i="1"/>
  <c r="X318" i="1"/>
  <c r="X339" i="1"/>
  <c r="X340" i="1"/>
  <c r="X341" i="1"/>
  <c r="X342" i="1"/>
  <c r="X343" i="1"/>
  <c r="X344" i="1"/>
  <c r="X345" i="1"/>
  <c r="X346" i="1"/>
  <c r="X347" i="1"/>
  <c r="X348" i="1"/>
  <c r="X349" i="1"/>
  <c r="X350" i="1"/>
  <c r="X351" i="1"/>
  <c r="X352" i="1"/>
  <c r="X353" i="1"/>
  <c r="X354" i="1"/>
  <c r="X355" i="1"/>
  <c r="X356" i="1"/>
  <c r="X357" i="1"/>
  <c r="X358" i="1"/>
  <c r="X359" i="1"/>
  <c r="X363" i="1"/>
  <c r="X364" i="1"/>
  <c r="X365" i="1"/>
  <c r="X366" i="1"/>
  <c r="X367" i="1"/>
  <c r="X368" i="1"/>
  <c r="X369" i="1"/>
  <c r="X370" i="1"/>
  <c r="X371" i="1"/>
  <c r="X372" i="1"/>
  <c r="X373" i="1"/>
  <c r="X374" i="1"/>
  <c r="X375" i="1"/>
  <c r="X376" i="1"/>
  <c r="X377" i="1"/>
  <c r="X378" i="1"/>
  <c r="X379" i="1"/>
  <c r="X394" i="1"/>
  <c r="X395" i="1"/>
  <c r="X396" i="1"/>
  <c r="X397" i="1"/>
  <c r="X398" i="1"/>
  <c r="X399" i="1"/>
  <c r="X400" i="1"/>
  <c r="X401" i="1"/>
  <c r="X402" i="1"/>
  <c r="X403" i="1"/>
  <c r="X404" i="1"/>
  <c r="X405" i="1"/>
  <c r="X406" i="1"/>
  <c r="X408" i="1"/>
  <c r="X409" i="1"/>
  <c r="X411" i="1"/>
  <c r="X412" i="1"/>
  <c r="X413" i="1"/>
  <c r="X414" i="1"/>
  <c r="X415" i="1"/>
  <c r="X416" i="1"/>
  <c r="X417" i="1"/>
  <c r="X418" i="1"/>
  <c r="X443" i="1"/>
  <c r="X444" i="1"/>
  <c r="X445" i="1"/>
  <c r="X446" i="1"/>
  <c r="X447" i="1"/>
  <c r="X448" i="1"/>
  <c r="X449" i="1"/>
  <c r="X450" i="1"/>
  <c r="X451" i="1"/>
  <c r="X452" i="1"/>
  <c r="X453" i="1"/>
  <c r="X454" i="1"/>
  <c r="X455" i="1"/>
  <c r="X456" i="1"/>
  <c r="X457" i="1"/>
  <c r="X466"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30" i="1"/>
  <c r="X531" i="1"/>
  <c r="X532" i="1"/>
  <c r="X533" i="1"/>
  <c r="X546" i="1"/>
  <c r="X547" i="1"/>
  <c r="X548" i="1"/>
  <c r="X549" i="1"/>
  <c r="X560" i="1"/>
  <c r="X561" i="1"/>
  <c r="X562" i="1"/>
  <c r="X563" i="1"/>
  <c r="X564" i="1"/>
  <c r="X565" i="1"/>
  <c r="X566" i="1"/>
  <c r="X567" i="1"/>
  <c r="X568" i="1"/>
  <c r="X569" i="1"/>
  <c r="X570" i="1"/>
  <c r="X571" i="1"/>
  <c r="X581" i="1"/>
  <c r="X582" i="1"/>
  <c r="X583" i="1"/>
  <c r="X584" i="1"/>
  <c r="X585" i="1"/>
  <c r="X586" i="1"/>
  <c r="X587" i="1"/>
  <c r="X588" i="1"/>
  <c r="X589" i="1"/>
  <c r="X590" i="1"/>
  <c r="X591" i="1"/>
  <c r="X592" i="1"/>
  <c r="X593" i="1"/>
  <c r="X594" i="1"/>
  <c r="X595" i="1"/>
  <c r="X596" i="1"/>
  <c r="X597" i="1"/>
  <c r="X598" i="1"/>
  <c r="X614" i="1"/>
  <c r="X615" i="1"/>
  <c r="X616" i="1"/>
  <c r="X617" i="1"/>
  <c r="X618" i="1"/>
  <c r="X619" i="1"/>
  <c r="X620" i="1"/>
  <c r="X621" i="1"/>
  <c r="X622" i="1"/>
  <c r="X623" i="1"/>
  <c r="X624" i="1"/>
  <c r="X625" i="1"/>
  <c r="X626" i="1"/>
  <c r="X627" i="1"/>
  <c r="X628" i="1"/>
  <c r="X629" i="1"/>
  <c r="X630" i="1"/>
  <c r="X631" i="1"/>
  <c r="X632" i="1"/>
  <c r="X636" i="1"/>
  <c r="X637" i="1"/>
  <c r="X638" i="1"/>
  <c r="X639" i="1"/>
  <c r="X640" i="1"/>
  <c r="X641" i="1"/>
  <c r="X642" i="1"/>
  <c r="X643" i="1"/>
  <c r="X644" i="1"/>
  <c r="X645" i="1"/>
  <c r="X646" i="1"/>
  <c r="X654" i="1"/>
  <c r="X656" i="1"/>
  <c r="X657" i="1"/>
  <c r="X658" i="1"/>
  <c r="X669" i="1"/>
  <c r="X670" i="1"/>
  <c r="X671" i="1"/>
  <c r="X672" i="1"/>
  <c r="X673" i="1"/>
  <c r="X674" i="1"/>
  <c r="X675" i="1"/>
  <c r="X676" i="1"/>
  <c r="X683" i="1"/>
  <c r="X684" i="1"/>
  <c r="X685" i="1"/>
  <c r="X686" i="1"/>
  <c r="X687" i="1"/>
  <c r="X688" i="1"/>
  <c r="X689" i="1"/>
  <c r="X690" i="1"/>
  <c r="X691" i="1"/>
  <c r="X692" i="1"/>
  <c r="X693" i="1"/>
  <c r="X694" i="1"/>
  <c r="X695" i="1"/>
  <c r="X696" i="1"/>
  <c r="X697"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800" i="1"/>
  <c r="X801" i="1"/>
  <c r="X802" i="1"/>
  <c r="X803" i="1"/>
  <c r="X804" i="1"/>
  <c r="X805" i="1"/>
  <c r="X806" i="1"/>
  <c r="X807" i="1"/>
  <c r="X808" i="1"/>
  <c r="X809" i="1"/>
  <c r="X815" i="1"/>
  <c r="X816" i="1"/>
  <c r="X842" i="1"/>
  <c r="X843" i="1"/>
  <c r="X844"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5" i="1"/>
  <c r="W836" i="1"/>
  <c r="W837" i="1"/>
  <c r="W838" i="1"/>
  <c r="W839" i="1"/>
  <c r="W840" i="1"/>
  <c r="W842" i="1"/>
  <c r="W843" i="1"/>
  <c r="W844" i="1"/>
  <c r="W845" i="1"/>
  <c r="W846" i="1"/>
  <c r="W847" i="1"/>
  <c r="W848" i="1"/>
  <c r="W850" i="1"/>
  <c r="W851" i="1"/>
  <c r="W852" i="1"/>
  <c r="W853" i="1"/>
  <c r="W854" i="1"/>
  <c r="W855" i="1"/>
  <c r="W857" i="1"/>
  <c r="W858" i="1"/>
  <c r="W859" i="1"/>
  <c r="W860" i="1"/>
  <c r="W861" i="1"/>
  <c r="W863" i="1"/>
  <c r="W864" i="1"/>
  <c r="W865" i="1"/>
  <c r="W866" i="1"/>
  <c r="W867" i="1"/>
  <c r="W868" i="1"/>
  <c r="W869" i="1"/>
  <c r="W870" i="1"/>
  <c r="W871" i="1"/>
  <c r="W872" i="1"/>
  <c r="W873" i="1"/>
  <c r="W886" i="1"/>
  <c r="W887" i="1"/>
  <c r="W888" i="1"/>
  <c r="W889" i="1"/>
  <c r="W890" i="1"/>
  <c r="W2" i="1"/>
  <c r="V32" i="1"/>
  <c r="V33" i="1"/>
  <c r="V35" i="1"/>
  <c r="V36" i="1"/>
  <c r="V41" i="1"/>
  <c r="V42" i="1"/>
  <c r="V43" i="1"/>
  <c r="V44" i="1"/>
  <c r="V45" i="1"/>
  <c r="V46" i="1"/>
  <c r="V47" i="1"/>
  <c r="V48" i="1"/>
  <c r="V49" i="1"/>
  <c r="V50" i="1"/>
  <c r="V51" i="1"/>
  <c r="V52" i="1"/>
  <c r="V53" i="1"/>
  <c r="V54" i="1"/>
  <c r="V55" i="1"/>
  <c r="V56" i="1"/>
  <c r="V57" i="1"/>
  <c r="V58" i="1"/>
  <c r="V59" i="1"/>
  <c r="V60" i="1"/>
  <c r="V73" i="1"/>
  <c r="V74" i="1"/>
  <c r="V75" i="1"/>
  <c r="V76" i="1"/>
  <c r="V77" i="1"/>
  <c r="V78" i="1"/>
  <c r="V79" i="1"/>
  <c r="V80"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1" i="1"/>
  <c r="V152" i="1"/>
  <c r="V157" i="1"/>
  <c r="V165" i="1"/>
  <c r="V168" i="1"/>
  <c r="V169" i="1"/>
  <c r="V170" i="1"/>
  <c r="V171" i="1"/>
  <c r="V172" i="1"/>
  <c r="V173" i="1"/>
  <c r="V174" i="1"/>
  <c r="V175" i="1"/>
  <c r="V176" i="1"/>
  <c r="V177" i="1"/>
  <c r="V178" i="1"/>
  <c r="V179" i="1"/>
  <c r="V180" i="1"/>
  <c r="V187" i="1"/>
  <c r="V190" i="1"/>
  <c r="V197" i="1"/>
  <c r="V198" i="1"/>
  <c r="V199" i="1"/>
  <c r="V200" i="1"/>
  <c r="V201" i="1"/>
  <c r="V206" i="1"/>
  <c r="V207" i="1"/>
  <c r="V208" i="1"/>
  <c r="V209" i="1"/>
  <c r="V213" i="1"/>
  <c r="V214" i="1"/>
  <c r="V215" i="1"/>
  <c r="V264" i="1"/>
  <c r="V265" i="1"/>
  <c r="V266" i="1"/>
  <c r="V267" i="1"/>
  <c r="V268" i="1"/>
  <c r="V269" i="1"/>
  <c r="V270" i="1"/>
  <c r="V341" i="1"/>
  <c r="V342" i="1"/>
  <c r="V343" i="1"/>
  <c r="V363" i="1"/>
  <c r="V364" i="1"/>
  <c r="V368" i="1"/>
  <c r="V371" i="1"/>
  <c r="V373" i="1"/>
  <c r="V374" i="1"/>
  <c r="V406" i="1"/>
  <c r="V408" i="1"/>
  <c r="V409" i="1"/>
  <c r="V466" i="1"/>
  <c r="V532" i="1"/>
  <c r="V533" i="1"/>
  <c r="V546" i="1"/>
  <c r="V547" i="1"/>
  <c r="V548" i="1"/>
  <c r="V549" i="1"/>
  <c r="V639" i="1"/>
  <c r="V640" i="1"/>
  <c r="V641" i="1"/>
  <c r="V642" i="1"/>
  <c r="V643" i="1"/>
  <c r="V644" i="1"/>
  <c r="V645" i="1"/>
  <c r="V646" i="1"/>
  <c r="V656" i="1"/>
  <c r="V657" i="1"/>
  <c r="V658" i="1"/>
  <c r="V662" i="1"/>
  <c r="V663" i="1"/>
  <c r="V664" i="1"/>
  <c r="V665" i="1"/>
  <c r="V666" i="1"/>
  <c r="V667" i="1"/>
  <c r="V668" i="1"/>
  <c r="V669" i="1"/>
  <c r="V670" i="1"/>
  <c r="V671" i="1"/>
  <c r="V672" i="1"/>
  <c r="V673" i="1"/>
  <c r="V674" i="1"/>
  <c r="V675" i="1"/>
  <c r="V676" i="1"/>
  <c r="V683" i="1"/>
  <c r="V684" i="1"/>
  <c r="V685" i="1"/>
  <c r="V686" i="1"/>
  <c r="V687" i="1"/>
  <c r="V688" i="1"/>
  <c r="V689" i="1"/>
  <c r="V690" i="1"/>
  <c r="V691" i="1"/>
  <c r="V692" i="1"/>
  <c r="V693" i="1"/>
  <c r="V694" i="1"/>
  <c r="V752" i="1"/>
  <c r="V753" i="1"/>
  <c r="V754" i="1"/>
  <c r="V755" i="1"/>
  <c r="V756" i="1"/>
  <c r="V757" i="1"/>
  <c r="V758" i="1"/>
  <c r="V759" i="1"/>
  <c r="V763" i="1"/>
  <c r="V802" i="1"/>
  <c r="V803" i="1"/>
  <c r="V804" i="1"/>
  <c r="V805" i="1"/>
  <c r="V806" i="1"/>
  <c r="V807" i="1"/>
  <c r="V808" i="1"/>
  <c r="V809" i="1"/>
  <c r="V835" i="1"/>
  <c r="V852" i="1"/>
  <c r="V855" i="1"/>
  <c r="V863" i="1"/>
  <c r="V865" i="1"/>
  <c r="V866" i="1"/>
  <c r="V870" i="1"/>
  <c r="V888" i="1"/>
  <c r="V890" i="1"/>
  <c r="V891"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5" i="1"/>
  <c r="U836" i="1"/>
  <c r="U837" i="1"/>
  <c r="U838" i="1"/>
  <c r="U839" i="1"/>
  <c r="U840" i="1"/>
  <c r="U842" i="1"/>
  <c r="U843" i="1"/>
  <c r="U844" i="1"/>
  <c r="U845" i="1"/>
  <c r="U846" i="1"/>
  <c r="U847" i="1"/>
  <c r="U848" i="1"/>
  <c r="U849" i="1"/>
  <c r="U850" i="1"/>
  <c r="U851" i="1"/>
  <c r="U852" i="1"/>
  <c r="U853" i="1"/>
  <c r="U854" i="1"/>
  <c r="U855" i="1"/>
  <c r="U857" i="1"/>
  <c r="U858" i="1"/>
  <c r="U859" i="1"/>
  <c r="U860" i="1"/>
  <c r="U861" i="1"/>
  <c r="U863" i="1"/>
  <c r="U864" i="1"/>
  <c r="U865" i="1"/>
  <c r="U866" i="1"/>
  <c r="U867" i="1"/>
  <c r="U868" i="1"/>
  <c r="U869" i="1"/>
  <c r="U870" i="1"/>
  <c r="U871" i="1"/>
  <c r="U886" i="1"/>
  <c r="U887" i="1"/>
  <c r="U888" i="1"/>
  <c r="U889" i="1"/>
  <c r="U906" i="1"/>
  <c r="U907" i="1"/>
  <c r="U908" i="1"/>
  <c r="U2" i="1"/>
  <c r="T19" i="1"/>
  <c r="T206" i="1"/>
  <c r="T207" i="1"/>
  <c r="T208" i="1"/>
  <c r="T209" i="1"/>
  <c r="T210" i="1"/>
  <c r="T215" i="1"/>
  <c r="T219" i="1"/>
  <c r="T274" i="1"/>
  <c r="T275" i="1"/>
  <c r="T276" i="1"/>
  <c r="T277" i="1"/>
  <c r="T278" i="1"/>
  <c r="T279" i="1"/>
  <c r="T280" i="1"/>
  <c r="T339" i="1"/>
  <c r="T340" i="1"/>
  <c r="T350" i="1"/>
  <c r="T351" i="1"/>
  <c r="T352" i="1"/>
  <c r="T368" i="1"/>
  <c r="T371" i="1"/>
  <c r="T374" i="1"/>
  <c r="T451" i="1"/>
  <c r="T452" i="1"/>
  <c r="T453" i="1"/>
  <c r="T454" i="1"/>
  <c r="T832" i="1"/>
  <c r="T836" i="1"/>
  <c r="T837" i="1"/>
  <c r="T838" i="1"/>
  <c r="T840" i="1"/>
  <c r="T843" i="1"/>
  <c r="T846" i="1"/>
  <c r="T847" i="1"/>
  <c r="T848" i="1"/>
  <c r="T849" i="1"/>
  <c r="T859" i="1"/>
  <c r="T860" i="1"/>
  <c r="T864" i="1"/>
  <c r="T865" i="1"/>
  <c r="T866" i="1"/>
  <c r="T867" i="1"/>
  <c r="T869" i="1"/>
  <c r="T872" i="1"/>
  <c r="T873" i="1"/>
  <c r="T874" i="1"/>
  <c r="T880" i="1"/>
  <c r="T884" i="1"/>
  <c r="T885" i="1"/>
  <c r="T887" i="1"/>
  <c r="T889" i="1"/>
  <c r="T891" i="1"/>
  <c r="T907" i="1"/>
  <c r="T908" i="1"/>
  <c r="T909" i="1"/>
  <c r="T916" i="1"/>
  <c r="T925"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5" i="1"/>
  <c r="S836" i="1"/>
  <c r="S837" i="1"/>
  <c r="S838" i="1"/>
  <c r="S839" i="1"/>
  <c r="S840" i="1"/>
  <c r="S842" i="1"/>
  <c r="S843" i="1"/>
  <c r="S844" i="1"/>
  <c r="S845" i="1"/>
  <c r="S846" i="1"/>
  <c r="S847" i="1"/>
  <c r="S848" i="1"/>
  <c r="S849" i="1"/>
  <c r="S850" i="1"/>
  <c r="S851" i="1"/>
  <c r="S852" i="1"/>
  <c r="S853" i="1"/>
  <c r="S854" i="1"/>
  <c r="S855" i="1"/>
  <c r="S857" i="1"/>
  <c r="S858" i="1"/>
  <c r="S859" i="1"/>
  <c r="S860" i="1"/>
  <c r="S861" i="1"/>
  <c r="S863" i="1"/>
  <c r="S864" i="1"/>
  <c r="S865" i="1"/>
  <c r="S866" i="1"/>
  <c r="S867" i="1"/>
  <c r="S868" i="1"/>
  <c r="S869" i="1"/>
  <c r="S870" i="1"/>
  <c r="S871" i="1"/>
  <c r="S872" i="1"/>
  <c r="S873" i="1"/>
  <c r="S874" i="1"/>
  <c r="S875" i="1"/>
  <c r="S876" i="1"/>
  <c r="S877" i="1"/>
  <c r="S878" i="1"/>
  <c r="S879" i="1"/>
  <c r="S880" i="1"/>
  <c r="S881" i="1"/>
  <c r="S884" i="1"/>
  <c r="S885" i="1"/>
  <c r="S886" i="1"/>
  <c r="S887" i="1"/>
  <c r="S888" i="1"/>
  <c r="S889" i="1"/>
  <c r="S890" i="1"/>
  <c r="S891" i="1"/>
  <c r="S892" i="1"/>
  <c r="S909" i="1"/>
  <c r="S910" i="1"/>
  <c r="S911" i="1"/>
  <c r="S915" i="1"/>
  <c r="S2" i="1"/>
  <c r="R831" i="1"/>
  <c r="X831" i="1" s="1"/>
  <c r="R830" i="1"/>
  <c r="X830" i="1" s="1"/>
  <c r="O831" i="1"/>
  <c r="V831" i="1" s="1"/>
  <c r="O830" i="1"/>
  <c r="V830" i="1" s="1"/>
  <c r="L831" i="1"/>
  <c r="T831" i="1" s="1"/>
  <c r="L830" i="1"/>
  <c r="T830" i="1" s="1"/>
  <c r="C831" i="1"/>
  <c r="C830" i="1"/>
  <c r="R827" i="1"/>
  <c r="X827" i="1" s="1"/>
  <c r="R828" i="1"/>
  <c r="X828" i="1" s="1"/>
  <c r="R829" i="1"/>
  <c r="X829" i="1" s="1"/>
  <c r="R826" i="1"/>
  <c r="X826" i="1" s="1"/>
  <c r="O829" i="1"/>
  <c r="V829" i="1" s="1"/>
  <c r="O828" i="1"/>
  <c r="V828" i="1" s="1"/>
  <c r="O827" i="1"/>
  <c r="V827" i="1" s="1"/>
  <c r="O826" i="1"/>
  <c r="V826" i="1" s="1"/>
  <c r="L829" i="1"/>
  <c r="T829" i="1" s="1"/>
  <c r="L828" i="1"/>
  <c r="T828" i="1" s="1"/>
  <c r="L827" i="1"/>
  <c r="T827" i="1" s="1"/>
  <c r="L826" i="1"/>
  <c r="T826" i="1" s="1"/>
  <c r="C829" i="1"/>
  <c r="C828" i="1"/>
  <c r="C827" i="1"/>
  <c r="C826" i="1"/>
  <c r="R825" i="1"/>
  <c r="X825" i="1" s="1"/>
  <c r="R824" i="1"/>
  <c r="X824" i="1" s="1"/>
  <c r="O825" i="1"/>
  <c r="V825" i="1" s="1"/>
  <c r="O824" i="1"/>
  <c r="V824" i="1" s="1"/>
  <c r="L825" i="1"/>
  <c r="T825" i="1" s="1"/>
  <c r="L824" i="1"/>
  <c r="T824" i="1" s="1"/>
  <c r="C825" i="1"/>
  <c r="C824" i="1"/>
  <c r="R817" i="1"/>
  <c r="X817" i="1" s="1"/>
  <c r="R818" i="1"/>
  <c r="X818" i="1" s="1"/>
  <c r="R819" i="1"/>
  <c r="X819" i="1" s="1"/>
  <c r="R820" i="1"/>
  <c r="X820" i="1" s="1"/>
  <c r="R821" i="1"/>
  <c r="X821" i="1" s="1"/>
  <c r="R822" i="1"/>
  <c r="X822" i="1" s="1"/>
  <c r="R823" i="1"/>
  <c r="X823" i="1" s="1"/>
  <c r="O823" i="1"/>
  <c r="V823" i="1" s="1"/>
  <c r="O822" i="1"/>
  <c r="V822" i="1" s="1"/>
  <c r="O821" i="1"/>
  <c r="V821" i="1" s="1"/>
  <c r="O820" i="1"/>
  <c r="V820" i="1" s="1"/>
  <c r="O819" i="1"/>
  <c r="V819" i="1" s="1"/>
  <c r="O818" i="1"/>
  <c r="V818" i="1" s="1"/>
  <c r="O817" i="1"/>
  <c r="V817" i="1" s="1"/>
  <c r="O816" i="1"/>
  <c r="V816" i="1" s="1"/>
  <c r="O815" i="1"/>
  <c r="V815" i="1" s="1"/>
  <c r="L823" i="1"/>
  <c r="T823" i="1" s="1"/>
  <c r="L822" i="1"/>
  <c r="T822" i="1" s="1"/>
  <c r="L821" i="1"/>
  <c r="T821" i="1" s="1"/>
  <c r="L820" i="1"/>
  <c r="T820" i="1" s="1"/>
  <c r="L819" i="1"/>
  <c r="T819" i="1" s="1"/>
  <c r="L818" i="1"/>
  <c r="T818" i="1" s="1"/>
  <c r="L817" i="1"/>
  <c r="T817" i="1" s="1"/>
  <c r="L816" i="1"/>
  <c r="T816" i="1" s="1"/>
  <c r="L815" i="1"/>
  <c r="T815" i="1" s="1"/>
  <c r="C823" i="1"/>
  <c r="C822" i="1"/>
  <c r="C821" i="1"/>
  <c r="C820" i="1"/>
  <c r="C819" i="1"/>
  <c r="C818" i="1"/>
  <c r="C817" i="1"/>
  <c r="C816" i="1"/>
  <c r="C815" i="1"/>
  <c r="R810" i="1"/>
  <c r="X810" i="1" s="1"/>
  <c r="R811" i="1"/>
  <c r="X811" i="1" s="1"/>
  <c r="R812" i="1"/>
  <c r="X812" i="1" s="1"/>
  <c r="R813" i="1"/>
  <c r="X813" i="1" s="1"/>
  <c r="R814" i="1"/>
  <c r="X814" i="1" s="1"/>
  <c r="O810" i="1"/>
  <c r="V810" i="1" s="1"/>
  <c r="O811" i="1"/>
  <c r="V811" i="1" s="1"/>
  <c r="O812" i="1"/>
  <c r="V812" i="1" s="1"/>
  <c r="O813" i="1"/>
  <c r="V813" i="1" s="1"/>
  <c r="O814" i="1"/>
  <c r="V814" i="1" s="1"/>
  <c r="L814" i="1"/>
  <c r="T814" i="1" s="1"/>
  <c r="L813" i="1"/>
  <c r="T813" i="1" s="1"/>
  <c r="L812" i="1"/>
  <c r="T812" i="1" s="1"/>
  <c r="L811" i="1"/>
  <c r="T811" i="1" s="1"/>
  <c r="L810" i="1"/>
  <c r="T810" i="1" s="1"/>
  <c r="C814" i="1"/>
  <c r="C813" i="1"/>
  <c r="C812" i="1"/>
  <c r="C811" i="1"/>
  <c r="C810" i="1"/>
  <c r="L809" i="1"/>
  <c r="T809" i="1" s="1"/>
  <c r="L808" i="1"/>
  <c r="T808" i="1" s="1"/>
  <c r="L807" i="1"/>
  <c r="T807" i="1" s="1"/>
  <c r="L806" i="1"/>
  <c r="T806" i="1" s="1"/>
  <c r="L805" i="1"/>
  <c r="T805" i="1" s="1"/>
  <c r="L804" i="1"/>
  <c r="T804" i="1" s="1"/>
  <c r="L803" i="1"/>
  <c r="T803" i="1" s="1"/>
  <c r="L802" i="1"/>
  <c r="T802" i="1" s="1"/>
  <c r="C809" i="1"/>
  <c r="C808" i="1"/>
  <c r="C807" i="1"/>
  <c r="C806" i="1"/>
  <c r="C805" i="1"/>
  <c r="C804" i="1"/>
  <c r="C803" i="1"/>
  <c r="C802" i="1"/>
  <c r="O801" i="1"/>
  <c r="V801" i="1" s="1"/>
  <c r="O800" i="1"/>
  <c r="V800" i="1" s="1"/>
  <c r="L801" i="1"/>
  <c r="T801" i="1" s="1"/>
  <c r="L800" i="1"/>
  <c r="T800" i="1" s="1"/>
  <c r="C801" i="1"/>
  <c r="C800" i="1"/>
  <c r="R794" i="1"/>
  <c r="X794" i="1" s="1"/>
  <c r="R795" i="1"/>
  <c r="X795" i="1" s="1"/>
  <c r="R796" i="1"/>
  <c r="X796" i="1" s="1"/>
  <c r="R797" i="1"/>
  <c r="X797" i="1" s="1"/>
  <c r="R798" i="1"/>
  <c r="X798" i="1" s="1"/>
  <c r="R799" i="1"/>
  <c r="X799" i="1" s="1"/>
  <c r="O796" i="1"/>
  <c r="V796" i="1" s="1"/>
  <c r="O799" i="1"/>
  <c r="V799" i="1" s="1"/>
  <c r="O798" i="1"/>
  <c r="V798" i="1" s="1"/>
  <c r="O797" i="1"/>
  <c r="V797" i="1" s="1"/>
  <c r="O795" i="1"/>
  <c r="V795" i="1" s="1"/>
  <c r="O794" i="1"/>
  <c r="V794" i="1" s="1"/>
  <c r="L799" i="1"/>
  <c r="T799" i="1" s="1"/>
  <c r="L798" i="1"/>
  <c r="T798" i="1" s="1"/>
  <c r="L797" i="1"/>
  <c r="T797" i="1" s="1"/>
  <c r="L796" i="1"/>
  <c r="T796" i="1" s="1"/>
  <c r="L795" i="1"/>
  <c r="T795" i="1" s="1"/>
  <c r="L794" i="1"/>
  <c r="T794" i="1" s="1"/>
  <c r="C799" i="1"/>
  <c r="C798" i="1"/>
  <c r="C797" i="1"/>
  <c r="C796" i="1"/>
  <c r="C795" i="1"/>
  <c r="C794" i="1"/>
  <c r="L19" i="1"/>
  <c r="O793" i="1"/>
  <c r="V793" i="1" s="1"/>
  <c r="O792" i="1"/>
  <c r="V792" i="1" s="1"/>
  <c r="O791" i="1"/>
  <c r="V791" i="1" s="1"/>
  <c r="O790" i="1"/>
  <c r="V790" i="1" s="1"/>
  <c r="O789" i="1"/>
  <c r="V789" i="1" s="1"/>
  <c r="O788" i="1"/>
  <c r="V788" i="1" s="1"/>
  <c r="O787" i="1"/>
  <c r="V787" i="1" s="1"/>
  <c r="O786" i="1"/>
  <c r="V786" i="1" s="1"/>
  <c r="O785" i="1"/>
  <c r="V785" i="1" s="1"/>
  <c r="O784" i="1"/>
  <c r="V784" i="1" s="1"/>
  <c r="O783" i="1"/>
  <c r="V783" i="1" s="1"/>
  <c r="L793" i="1"/>
  <c r="T793" i="1" s="1"/>
  <c r="L792" i="1"/>
  <c r="T792" i="1" s="1"/>
  <c r="L791" i="1"/>
  <c r="T791" i="1" s="1"/>
  <c r="L790" i="1"/>
  <c r="T790" i="1" s="1"/>
  <c r="L789" i="1"/>
  <c r="T789" i="1" s="1"/>
  <c r="L788" i="1"/>
  <c r="T788" i="1" s="1"/>
  <c r="L787" i="1"/>
  <c r="T787" i="1" s="1"/>
  <c r="L786" i="1"/>
  <c r="T786" i="1" s="1"/>
  <c r="L785" i="1"/>
  <c r="T785" i="1" s="1"/>
  <c r="L784" i="1"/>
  <c r="T784" i="1" s="1"/>
  <c r="L783" i="1"/>
  <c r="T783" i="1" s="1"/>
  <c r="C793" i="1"/>
  <c r="C792" i="1"/>
  <c r="C791" i="1"/>
  <c r="C790" i="1"/>
  <c r="C789" i="1"/>
  <c r="C788" i="1"/>
  <c r="C787" i="1"/>
  <c r="C786" i="1"/>
  <c r="C785" i="1"/>
  <c r="C784" i="1"/>
  <c r="C783" i="1"/>
  <c r="O782" i="1"/>
  <c r="V782" i="1" s="1"/>
  <c r="O781" i="1"/>
  <c r="V781" i="1" s="1"/>
  <c r="O780" i="1"/>
  <c r="V780" i="1" s="1"/>
  <c r="O779" i="1"/>
  <c r="V779" i="1" s="1"/>
  <c r="O778" i="1"/>
  <c r="V778" i="1" s="1"/>
  <c r="O777" i="1"/>
  <c r="V777" i="1" s="1"/>
  <c r="O776" i="1"/>
  <c r="V776" i="1" s="1"/>
  <c r="O775" i="1"/>
  <c r="V775" i="1" s="1"/>
  <c r="O774" i="1"/>
  <c r="V774" i="1" s="1"/>
  <c r="O773" i="1"/>
  <c r="V773" i="1" s="1"/>
  <c r="O772" i="1"/>
  <c r="V772" i="1" s="1"/>
  <c r="O771" i="1"/>
  <c r="V771" i="1" s="1"/>
  <c r="O770" i="1"/>
  <c r="V770" i="1" s="1"/>
  <c r="O769" i="1"/>
  <c r="V769" i="1" s="1"/>
  <c r="O768" i="1"/>
  <c r="V768" i="1" s="1"/>
  <c r="O767" i="1"/>
  <c r="V767" i="1" s="1"/>
  <c r="O766" i="1"/>
  <c r="V766" i="1" s="1"/>
  <c r="O764" i="1"/>
  <c r="V764" i="1" s="1"/>
  <c r="O765" i="1"/>
  <c r="V765" i="1" s="1"/>
  <c r="L782" i="1"/>
  <c r="T782" i="1" s="1"/>
  <c r="L781" i="1"/>
  <c r="T781" i="1" s="1"/>
  <c r="L780" i="1"/>
  <c r="T780" i="1" s="1"/>
  <c r="L779" i="1"/>
  <c r="T779" i="1" s="1"/>
  <c r="L778" i="1"/>
  <c r="T778" i="1" s="1"/>
  <c r="L777" i="1"/>
  <c r="T777" i="1" s="1"/>
  <c r="L776" i="1"/>
  <c r="T776" i="1" s="1"/>
  <c r="L775" i="1"/>
  <c r="T775" i="1" s="1"/>
  <c r="L774" i="1"/>
  <c r="T774" i="1" s="1"/>
  <c r="L773" i="1"/>
  <c r="T773" i="1" s="1"/>
  <c r="L772" i="1"/>
  <c r="T772" i="1" s="1"/>
  <c r="L771" i="1"/>
  <c r="T771" i="1" s="1"/>
  <c r="L770" i="1"/>
  <c r="T770" i="1" s="1"/>
  <c r="L769" i="1"/>
  <c r="T769" i="1" s="1"/>
  <c r="L768" i="1"/>
  <c r="T768" i="1" s="1"/>
  <c r="L767" i="1"/>
  <c r="T767" i="1" s="1"/>
  <c r="L766" i="1"/>
  <c r="T766" i="1" s="1"/>
  <c r="L765" i="1"/>
  <c r="T765" i="1" s="1"/>
  <c r="L764" i="1"/>
  <c r="T764" i="1" s="1"/>
  <c r="C782" i="1"/>
  <c r="C781" i="1"/>
  <c r="C780" i="1"/>
  <c r="C779" i="1"/>
  <c r="C778" i="1"/>
  <c r="C777" i="1"/>
  <c r="C776" i="1"/>
  <c r="C775" i="1"/>
  <c r="C774" i="1"/>
  <c r="C773" i="1"/>
  <c r="C772" i="1"/>
  <c r="C771" i="1"/>
  <c r="C770" i="1"/>
  <c r="C769" i="1"/>
  <c r="C768" i="1"/>
  <c r="C767" i="1"/>
  <c r="C766" i="1"/>
  <c r="C765" i="1"/>
  <c r="C764" i="1"/>
  <c r="O760" i="1"/>
  <c r="V760" i="1" s="1"/>
  <c r="O761" i="1"/>
  <c r="V761" i="1" s="1"/>
  <c r="O762" i="1"/>
  <c r="V762" i="1" s="1"/>
  <c r="L763" i="1"/>
  <c r="T763" i="1" s="1"/>
  <c r="L762" i="1"/>
  <c r="T762" i="1" s="1"/>
  <c r="L761" i="1"/>
  <c r="T761" i="1" s="1"/>
  <c r="L760" i="1"/>
  <c r="T760" i="1" s="1"/>
  <c r="C763" i="1"/>
  <c r="C762" i="1"/>
  <c r="C761" i="1"/>
  <c r="C760" i="1"/>
  <c r="L759" i="1"/>
  <c r="T759" i="1" s="1"/>
  <c r="L758" i="1"/>
  <c r="T758" i="1" s="1"/>
  <c r="L757" i="1"/>
  <c r="T757" i="1" s="1"/>
  <c r="L756" i="1"/>
  <c r="T756" i="1" s="1"/>
  <c r="L755" i="1"/>
  <c r="T755" i="1" s="1"/>
  <c r="L754" i="1"/>
  <c r="T754" i="1" s="1"/>
  <c r="L753" i="1"/>
  <c r="T753" i="1" s="1"/>
  <c r="L752" i="1"/>
  <c r="T752" i="1" s="1"/>
  <c r="C759" i="1"/>
  <c r="C758" i="1"/>
  <c r="C757" i="1"/>
  <c r="C756" i="1"/>
  <c r="C755" i="1"/>
  <c r="C754" i="1"/>
  <c r="C753" i="1"/>
  <c r="C752" i="1"/>
  <c r="R751" i="1"/>
  <c r="X751" i="1" s="1"/>
  <c r="R750" i="1"/>
  <c r="X750" i="1" s="1"/>
  <c r="R749" i="1"/>
  <c r="X749" i="1" s="1"/>
  <c r="R748" i="1"/>
  <c r="X748" i="1" s="1"/>
  <c r="R747" i="1"/>
  <c r="X747" i="1" s="1"/>
  <c r="R746" i="1"/>
  <c r="X746" i="1" s="1"/>
  <c r="R745" i="1"/>
  <c r="X745" i="1" s="1"/>
  <c r="R744" i="1"/>
  <c r="X744" i="1" s="1"/>
  <c r="R743" i="1"/>
  <c r="X743" i="1" s="1"/>
  <c r="O751" i="1"/>
  <c r="V751" i="1" s="1"/>
  <c r="O750" i="1"/>
  <c r="V750" i="1" s="1"/>
  <c r="O749" i="1"/>
  <c r="V749" i="1" s="1"/>
  <c r="O748" i="1"/>
  <c r="V748" i="1" s="1"/>
  <c r="O747" i="1"/>
  <c r="V747" i="1" s="1"/>
  <c r="O746" i="1"/>
  <c r="V746" i="1" s="1"/>
  <c r="O745" i="1"/>
  <c r="V745" i="1" s="1"/>
  <c r="O744" i="1"/>
  <c r="V744" i="1" s="1"/>
  <c r="O743" i="1"/>
  <c r="V743" i="1" s="1"/>
  <c r="L751" i="1"/>
  <c r="T751" i="1" s="1"/>
  <c r="L750" i="1"/>
  <c r="T750" i="1" s="1"/>
  <c r="L749" i="1"/>
  <c r="T749" i="1" s="1"/>
  <c r="L748" i="1"/>
  <c r="T748" i="1" s="1"/>
  <c r="L747" i="1"/>
  <c r="T747" i="1" s="1"/>
  <c r="L746" i="1"/>
  <c r="T746" i="1" s="1"/>
  <c r="L745" i="1"/>
  <c r="T745" i="1" s="1"/>
  <c r="L744" i="1"/>
  <c r="T744" i="1" s="1"/>
  <c r="L743" i="1"/>
  <c r="T743" i="1" s="1"/>
  <c r="C751" i="1"/>
  <c r="C750" i="1"/>
  <c r="C749" i="1"/>
  <c r="C748" i="1"/>
  <c r="C747" i="1"/>
  <c r="C746" i="1"/>
  <c r="C745" i="1"/>
  <c r="C744" i="1"/>
  <c r="C743" i="1"/>
  <c r="R737" i="1"/>
  <c r="X737" i="1" s="1"/>
  <c r="R738" i="1"/>
  <c r="X738" i="1" s="1"/>
  <c r="R739" i="1"/>
  <c r="X739" i="1" s="1"/>
  <c r="R740" i="1"/>
  <c r="X740" i="1" s="1"/>
  <c r="R741" i="1"/>
  <c r="X741" i="1" s="1"/>
  <c r="R742" i="1"/>
  <c r="X742" i="1" s="1"/>
  <c r="O742" i="1"/>
  <c r="V742" i="1" s="1"/>
  <c r="O741" i="1"/>
  <c r="V741" i="1" s="1"/>
  <c r="O740" i="1"/>
  <c r="V740" i="1" s="1"/>
  <c r="O739" i="1"/>
  <c r="V739" i="1" s="1"/>
  <c r="O738" i="1"/>
  <c r="V738" i="1" s="1"/>
  <c r="O737" i="1"/>
  <c r="V737" i="1" s="1"/>
  <c r="L742" i="1"/>
  <c r="T742" i="1" s="1"/>
  <c r="L741" i="1"/>
  <c r="T741" i="1" s="1"/>
  <c r="L740" i="1"/>
  <c r="T740" i="1" s="1"/>
  <c r="L739" i="1"/>
  <c r="T739" i="1" s="1"/>
  <c r="L738" i="1"/>
  <c r="T738" i="1" s="1"/>
  <c r="L737" i="1"/>
  <c r="T737" i="1" s="1"/>
  <c r="C742" i="1"/>
  <c r="C741" i="1"/>
  <c r="C740" i="1"/>
  <c r="C739" i="1"/>
  <c r="C738" i="1"/>
  <c r="C737" i="1"/>
  <c r="O736" i="1"/>
  <c r="V736" i="1" s="1"/>
  <c r="O735" i="1"/>
  <c r="V735" i="1" s="1"/>
  <c r="O734" i="1"/>
  <c r="V734" i="1" s="1"/>
  <c r="L736" i="1"/>
  <c r="T736" i="1" s="1"/>
  <c r="L735" i="1"/>
  <c r="T735" i="1" s="1"/>
  <c r="L734" i="1"/>
  <c r="T734" i="1" s="1"/>
  <c r="C735" i="1"/>
  <c r="C736" i="1"/>
  <c r="C734" i="1"/>
  <c r="O733" i="1"/>
  <c r="V733" i="1" s="1"/>
  <c r="O732" i="1"/>
  <c r="V732" i="1" s="1"/>
  <c r="O731" i="1"/>
  <c r="V731" i="1" s="1"/>
  <c r="O730" i="1"/>
  <c r="V730" i="1" s="1"/>
  <c r="O729" i="1"/>
  <c r="V729" i="1" s="1"/>
  <c r="O728" i="1"/>
  <c r="V728" i="1" s="1"/>
  <c r="O727" i="1"/>
  <c r="V727" i="1" s="1"/>
  <c r="O726" i="1"/>
  <c r="V726" i="1" s="1"/>
  <c r="O725" i="1"/>
  <c r="V725" i="1" s="1"/>
  <c r="O724" i="1"/>
  <c r="V724" i="1" s="1"/>
  <c r="O723" i="1"/>
  <c r="V723" i="1" s="1"/>
  <c r="O722" i="1"/>
  <c r="V722" i="1" s="1"/>
  <c r="O721" i="1"/>
  <c r="V721" i="1" s="1"/>
  <c r="O720" i="1"/>
  <c r="V720" i="1" s="1"/>
  <c r="O719" i="1"/>
  <c r="V719" i="1" s="1"/>
  <c r="O718" i="1"/>
  <c r="V718" i="1" s="1"/>
  <c r="O717" i="1"/>
  <c r="V717" i="1" s="1"/>
  <c r="O716" i="1"/>
  <c r="V716" i="1" s="1"/>
  <c r="O715" i="1"/>
  <c r="V715" i="1" s="1"/>
  <c r="O714" i="1"/>
  <c r="V714" i="1" s="1"/>
  <c r="O713" i="1"/>
  <c r="V713" i="1" s="1"/>
  <c r="O712" i="1"/>
  <c r="V712" i="1" s="1"/>
  <c r="O711" i="1"/>
  <c r="V711" i="1" s="1"/>
  <c r="O710" i="1"/>
  <c r="V710" i="1" s="1"/>
  <c r="O709" i="1"/>
  <c r="V709" i="1" s="1"/>
  <c r="O708" i="1"/>
  <c r="V708" i="1" s="1"/>
  <c r="O707" i="1"/>
  <c r="V707" i="1" s="1"/>
  <c r="L733" i="1"/>
  <c r="T733" i="1" s="1"/>
  <c r="L732" i="1"/>
  <c r="T732" i="1" s="1"/>
  <c r="L731" i="1"/>
  <c r="T731" i="1" s="1"/>
  <c r="L730" i="1"/>
  <c r="T730" i="1" s="1"/>
  <c r="L729" i="1"/>
  <c r="T729" i="1" s="1"/>
  <c r="L728" i="1"/>
  <c r="T728" i="1" s="1"/>
  <c r="L727" i="1"/>
  <c r="T727" i="1" s="1"/>
  <c r="L726" i="1"/>
  <c r="T726" i="1" s="1"/>
  <c r="L725" i="1"/>
  <c r="T725" i="1" s="1"/>
  <c r="L724" i="1"/>
  <c r="T724" i="1" s="1"/>
  <c r="L723" i="1"/>
  <c r="T723" i="1" s="1"/>
  <c r="L722" i="1"/>
  <c r="T722" i="1" s="1"/>
  <c r="L721" i="1"/>
  <c r="T721" i="1" s="1"/>
  <c r="L720" i="1"/>
  <c r="T720" i="1" s="1"/>
  <c r="L719" i="1"/>
  <c r="T719" i="1" s="1"/>
  <c r="L718" i="1"/>
  <c r="T718" i="1" s="1"/>
  <c r="L717" i="1"/>
  <c r="T717" i="1" s="1"/>
  <c r="L716" i="1"/>
  <c r="T716" i="1" s="1"/>
  <c r="L715" i="1"/>
  <c r="T715" i="1" s="1"/>
  <c r="L714" i="1"/>
  <c r="T714" i="1" s="1"/>
  <c r="L713" i="1"/>
  <c r="T713" i="1" s="1"/>
  <c r="L712" i="1"/>
  <c r="T712" i="1" s="1"/>
  <c r="L711" i="1"/>
  <c r="T711" i="1" s="1"/>
  <c r="L710" i="1"/>
  <c r="T710" i="1" s="1"/>
  <c r="L709" i="1"/>
  <c r="T709" i="1" s="1"/>
  <c r="L708" i="1"/>
  <c r="T708" i="1" s="1"/>
  <c r="L707" i="1"/>
  <c r="T707" i="1" s="1"/>
  <c r="C728" i="1"/>
  <c r="C729" i="1"/>
  <c r="C730" i="1"/>
  <c r="C731" i="1"/>
  <c r="C732" i="1"/>
  <c r="C733" i="1"/>
  <c r="C727" i="1"/>
  <c r="C726" i="1"/>
  <c r="C725" i="1"/>
  <c r="C724" i="1"/>
  <c r="C723" i="1"/>
  <c r="C722" i="1"/>
  <c r="C721" i="1"/>
  <c r="C720" i="1"/>
  <c r="C719" i="1"/>
  <c r="C718" i="1"/>
  <c r="C717" i="1"/>
  <c r="C716" i="1"/>
  <c r="C715" i="1"/>
  <c r="C714" i="1"/>
  <c r="C713" i="1"/>
  <c r="C712" i="1"/>
  <c r="C711" i="1"/>
  <c r="C710" i="1"/>
  <c r="C709" i="1"/>
  <c r="C708" i="1"/>
  <c r="C707" i="1"/>
  <c r="R698" i="1"/>
  <c r="X698" i="1" s="1"/>
  <c r="R699" i="1"/>
  <c r="X699" i="1" s="1"/>
  <c r="R700" i="1"/>
  <c r="X700" i="1" s="1"/>
  <c r="R701" i="1"/>
  <c r="X701" i="1" s="1"/>
  <c r="R702" i="1"/>
  <c r="X702" i="1" s="1"/>
  <c r="R703" i="1"/>
  <c r="X703" i="1" s="1"/>
  <c r="R704" i="1"/>
  <c r="X704" i="1" s="1"/>
  <c r="R705" i="1"/>
  <c r="X705" i="1" s="1"/>
  <c r="R706" i="1"/>
  <c r="X706" i="1" s="1"/>
  <c r="O698" i="1"/>
  <c r="V698" i="1" s="1"/>
  <c r="O699" i="1"/>
  <c r="V699" i="1" s="1"/>
  <c r="O700" i="1"/>
  <c r="V700" i="1" s="1"/>
  <c r="O701" i="1"/>
  <c r="V701" i="1" s="1"/>
  <c r="O702" i="1"/>
  <c r="V702" i="1" s="1"/>
  <c r="O703" i="1"/>
  <c r="V703" i="1" s="1"/>
  <c r="O704" i="1"/>
  <c r="V704" i="1" s="1"/>
  <c r="O705" i="1"/>
  <c r="V705" i="1" s="1"/>
  <c r="O706" i="1"/>
  <c r="V706" i="1" s="1"/>
  <c r="L706" i="1"/>
  <c r="T706" i="1" s="1"/>
  <c r="L705" i="1"/>
  <c r="T705" i="1" s="1"/>
  <c r="L704" i="1"/>
  <c r="T704" i="1" s="1"/>
  <c r="L703" i="1"/>
  <c r="T703" i="1" s="1"/>
  <c r="L702" i="1"/>
  <c r="T702" i="1" s="1"/>
  <c r="L701" i="1"/>
  <c r="T701" i="1" s="1"/>
  <c r="L700" i="1"/>
  <c r="T700" i="1" s="1"/>
  <c r="L699" i="1"/>
  <c r="T699" i="1" s="1"/>
  <c r="L698" i="1"/>
  <c r="T698" i="1" s="1"/>
  <c r="C706" i="1"/>
  <c r="C705" i="1"/>
  <c r="C704" i="1"/>
  <c r="C703" i="1"/>
  <c r="C702" i="1"/>
  <c r="C701" i="1"/>
  <c r="C700" i="1"/>
  <c r="C699" i="1"/>
  <c r="C698" i="1"/>
  <c r="O695" i="1"/>
  <c r="V695" i="1" s="1"/>
  <c r="O696" i="1"/>
  <c r="V696" i="1" s="1"/>
  <c r="O697" i="1"/>
  <c r="V697" i="1" s="1"/>
  <c r="L697" i="1"/>
  <c r="T697" i="1" s="1"/>
  <c r="L696" i="1"/>
  <c r="T696" i="1" s="1"/>
  <c r="L695" i="1"/>
  <c r="T695" i="1" s="1"/>
  <c r="L694" i="1"/>
  <c r="T694" i="1" s="1"/>
  <c r="L693" i="1"/>
  <c r="T693" i="1" s="1"/>
  <c r="L692" i="1"/>
  <c r="T692" i="1" s="1"/>
  <c r="L691" i="1"/>
  <c r="T691" i="1" s="1"/>
  <c r="L690" i="1"/>
  <c r="T690" i="1" s="1"/>
  <c r="L689" i="1"/>
  <c r="T689" i="1" s="1"/>
  <c r="C697" i="1"/>
  <c r="C696" i="1"/>
  <c r="C695" i="1"/>
  <c r="C694" i="1"/>
  <c r="C693" i="1"/>
  <c r="C692" i="1"/>
  <c r="C691" i="1"/>
  <c r="C690" i="1"/>
  <c r="C689" i="1"/>
  <c r="L688" i="1"/>
  <c r="T688" i="1" s="1"/>
  <c r="L687" i="1"/>
  <c r="T687" i="1" s="1"/>
  <c r="L686" i="1"/>
  <c r="T686" i="1" s="1"/>
  <c r="L685" i="1"/>
  <c r="T685" i="1" s="1"/>
  <c r="L684" i="1"/>
  <c r="T684" i="1" s="1"/>
  <c r="L683" i="1"/>
  <c r="T683" i="1" s="1"/>
  <c r="C688" i="1"/>
  <c r="C687" i="1"/>
  <c r="C686" i="1"/>
  <c r="C685" i="1"/>
  <c r="C684" i="1"/>
  <c r="C683" i="1"/>
  <c r="R677" i="1"/>
  <c r="X677" i="1" s="1"/>
  <c r="R678" i="1"/>
  <c r="X678" i="1" s="1"/>
  <c r="R679" i="1"/>
  <c r="X679" i="1" s="1"/>
  <c r="R680" i="1"/>
  <c r="X680" i="1" s="1"/>
  <c r="R681" i="1"/>
  <c r="X681" i="1" s="1"/>
  <c r="R682" i="1"/>
  <c r="X682" i="1" s="1"/>
  <c r="O679" i="1"/>
  <c r="V679" i="1" s="1"/>
  <c r="O680" i="1"/>
  <c r="V680" i="1" s="1"/>
  <c r="O681" i="1"/>
  <c r="V681" i="1" s="1"/>
  <c r="O682" i="1"/>
  <c r="V682" i="1" s="1"/>
  <c r="O678" i="1"/>
  <c r="V678" i="1" s="1"/>
  <c r="O677" i="1"/>
  <c r="V677" i="1" s="1"/>
  <c r="L682" i="1"/>
  <c r="T682" i="1" s="1"/>
  <c r="L681" i="1"/>
  <c r="T681" i="1" s="1"/>
  <c r="L680" i="1"/>
  <c r="T680" i="1" s="1"/>
  <c r="L679" i="1"/>
  <c r="T679" i="1" s="1"/>
  <c r="L678" i="1"/>
  <c r="T678" i="1" s="1"/>
  <c r="L677" i="1"/>
  <c r="T677" i="1" s="1"/>
  <c r="C682" i="1"/>
  <c r="C681" i="1"/>
  <c r="C680" i="1"/>
  <c r="C679" i="1"/>
  <c r="C678" i="1"/>
  <c r="C677" i="1"/>
  <c r="L676" i="1"/>
  <c r="T676" i="1" s="1"/>
  <c r="L675" i="1"/>
  <c r="T675" i="1" s="1"/>
  <c r="L674" i="1"/>
  <c r="T674" i="1" s="1"/>
  <c r="L673" i="1"/>
  <c r="T673" i="1" s="1"/>
  <c r="L672" i="1"/>
  <c r="T672" i="1" s="1"/>
  <c r="L671" i="1"/>
  <c r="T671" i="1" s="1"/>
  <c r="L670" i="1"/>
  <c r="T670" i="1" s="1"/>
  <c r="L669" i="1"/>
  <c r="T669" i="1" s="1"/>
  <c r="C676" i="1"/>
  <c r="C675" i="1"/>
  <c r="C674" i="1"/>
  <c r="C673" i="1"/>
  <c r="C672" i="1"/>
  <c r="C671" i="1"/>
  <c r="C670" i="1"/>
  <c r="C669" i="1"/>
  <c r="R662" i="1"/>
  <c r="X662" i="1" s="1"/>
  <c r="R663" i="1"/>
  <c r="X663" i="1" s="1"/>
  <c r="R664" i="1"/>
  <c r="X664" i="1" s="1"/>
  <c r="R665" i="1"/>
  <c r="X665" i="1" s="1"/>
  <c r="R666" i="1"/>
  <c r="X666" i="1" s="1"/>
  <c r="R667" i="1"/>
  <c r="X667" i="1" s="1"/>
  <c r="R668" i="1"/>
  <c r="X668" i="1" s="1"/>
  <c r="L668" i="1"/>
  <c r="T668" i="1" s="1"/>
  <c r="L667" i="1"/>
  <c r="T667" i="1" s="1"/>
  <c r="L666" i="1"/>
  <c r="T666" i="1" s="1"/>
  <c r="L665" i="1"/>
  <c r="T665" i="1" s="1"/>
  <c r="L664" i="1"/>
  <c r="T664" i="1" s="1"/>
  <c r="L663" i="1"/>
  <c r="T663" i="1" s="1"/>
  <c r="L662" i="1"/>
  <c r="T662" i="1" s="1"/>
  <c r="C668" i="1"/>
  <c r="C667" i="1"/>
  <c r="C666" i="1"/>
  <c r="C665" i="1"/>
  <c r="C664" i="1"/>
  <c r="C663" i="1"/>
  <c r="C662" i="1"/>
  <c r="R659" i="1"/>
  <c r="X659" i="1" s="1"/>
  <c r="R660" i="1"/>
  <c r="X660" i="1" s="1"/>
  <c r="R661" i="1"/>
  <c r="X661" i="1" s="1"/>
  <c r="O659" i="1"/>
  <c r="V659" i="1" s="1"/>
  <c r="O660" i="1"/>
  <c r="V660" i="1" s="1"/>
  <c r="O661" i="1"/>
  <c r="V661" i="1" s="1"/>
  <c r="L661" i="1"/>
  <c r="T661" i="1" s="1"/>
  <c r="L660" i="1"/>
  <c r="T660" i="1" s="1"/>
  <c r="L659" i="1"/>
  <c r="T659" i="1" s="1"/>
  <c r="C661" i="1"/>
  <c r="C660" i="1"/>
  <c r="C659" i="1"/>
  <c r="R655" i="1"/>
  <c r="X655" i="1" s="1"/>
  <c r="R653" i="1"/>
  <c r="X653" i="1" s="1"/>
  <c r="O655" i="1"/>
  <c r="V655" i="1" s="1"/>
  <c r="O654" i="1"/>
  <c r="V654" i="1" s="1"/>
  <c r="O653" i="1"/>
  <c r="V653" i="1" s="1"/>
  <c r="L658" i="1"/>
  <c r="T658" i="1" s="1"/>
  <c r="L657" i="1"/>
  <c r="T657" i="1" s="1"/>
  <c r="L656" i="1"/>
  <c r="T656" i="1" s="1"/>
  <c r="L655" i="1"/>
  <c r="T655" i="1" s="1"/>
  <c r="L654" i="1"/>
  <c r="T654" i="1" s="1"/>
  <c r="L653" i="1"/>
  <c r="T653" i="1" s="1"/>
  <c r="C658" i="1"/>
  <c r="C657" i="1"/>
  <c r="C656" i="1"/>
  <c r="C655" i="1"/>
  <c r="C654" i="1"/>
  <c r="C653" i="1"/>
  <c r="R647" i="1"/>
  <c r="X647" i="1" s="1"/>
  <c r="R648" i="1"/>
  <c r="X648" i="1" s="1"/>
  <c r="R649" i="1"/>
  <c r="X649" i="1" s="1"/>
  <c r="R650" i="1"/>
  <c r="X650" i="1" s="1"/>
  <c r="R651" i="1"/>
  <c r="X651" i="1" s="1"/>
  <c r="R652" i="1"/>
  <c r="X652" i="1" s="1"/>
  <c r="O647" i="1"/>
  <c r="V647" i="1" s="1"/>
  <c r="O648" i="1"/>
  <c r="V648" i="1" s="1"/>
  <c r="O649" i="1"/>
  <c r="V649" i="1" s="1"/>
  <c r="O650" i="1"/>
  <c r="V650" i="1" s="1"/>
  <c r="O651" i="1"/>
  <c r="V651" i="1" s="1"/>
  <c r="O652" i="1"/>
  <c r="V652" i="1" s="1"/>
  <c r="L652" i="1"/>
  <c r="T652" i="1" s="1"/>
  <c r="L651" i="1"/>
  <c r="T651" i="1" s="1"/>
  <c r="L650" i="1"/>
  <c r="T650" i="1" s="1"/>
  <c r="L649" i="1"/>
  <c r="T649" i="1" s="1"/>
  <c r="L648" i="1"/>
  <c r="T648" i="1" s="1"/>
  <c r="L647" i="1"/>
  <c r="T647" i="1" s="1"/>
  <c r="C652" i="1"/>
  <c r="C651" i="1"/>
  <c r="C650" i="1"/>
  <c r="C649" i="1"/>
  <c r="C648" i="1"/>
  <c r="C647" i="1"/>
  <c r="L646" i="1"/>
  <c r="T646" i="1" s="1"/>
  <c r="L645" i="1"/>
  <c r="T645" i="1" s="1"/>
  <c r="L644" i="1"/>
  <c r="T644" i="1" s="1"/>
  <c r="L643" i="1"/>
  <c r="T643" i="1" s="1"/>
  <c r="C646" i="1"/>
  <c r="C645" i="1"/>
  <c r="C644" i="1"/>
  <c r="C643" i="1"/>
  <c r="L642" i="1"/>
  <c r="T642" i="1" s="1"/>
  <c r="L641" i="1"/>
  <c r="T641" i="1" s="1"/>
  <c r="L640" i="1"/>
  <c r="T640" i="1" s="1"/>
  <c r="L639" i="1"/>
  <c r="T639" i="1" s="1"/>
  <c r="C642" i="1"/>
  <c r="C641" i="1"/>
  <c r="C640" i="1"/>
  <c r="C639" i="1"/>
  <c r="R633" i="1"/>
  <c r="X633" i="1" s="1"/>
  <c r="R634" i="1"/>
  <c r="X634" i="1" s="1"/>
  <c r="R635" i="1"/>
  <c r="X635" i="1" s="1"/>
  <c r="O638" i="1"/>
  <c r="V638" i="1" s="1"/>
  <c r="O637" i="1"/>
  <c r="V637" i="1" s="1"/>
  <c r="O636" i="1"/>
  <c r="V636" i="1" s="1"/>
  <c r="O635" i="1"/>
  <c r="V635" i="1" s="1"/>
  <c r="O634" i="1"/>
  <c r="V634" i="1" s="1"/>
  <c r="O633" i="1"/>
  <c r="V633" i="1" s="1"/>
  <c r="L638" i="1"/>
  <c r="T638" i="1" s="1"/>
  <c r="L637" i="1"/>
  <c r="T637" i="1" s="1"/>
  <c r="L636" i="1"/>
  <c r="T636" i="1" s="1"/>
  <c r="L635" i="1"/>
  <c r="T635" i="1" s="1"/>
  <c r="L634" i="1"/>
  <c r="T634" i="1" s="1"/>
  <c r="L633" i="1"/>
  <c r="T633" i="1" s="1"/>
  <c r="C638" i="1"/>
  <c r="C637" i="1"/>
  <c r="C636" i="1"/>
  <c r="C635" i="1"/>
  <c r="C634" i="1"/>
  <c r="C633" i="1"/>
  <c r="O632" i="1"/>
  <c r="V632" i="1" s="1"/>
  <c r="O631" i="1"/>
  <c r="V631" i="1" s="1"/>
  <c r="O630" i="1"/>
  <c r="V630" i="1" s="1"/>
  <c r="O629" i="1"/>
  <c r="V629" i="1" s="1"/>
  <c r="O628" i="1"/>
  <c r="V628" i="1" s="1"/>
  <c r="O627" i="1"/>
  <c r="V627" i="1" s="1"/>
  <c r="O626" i="1"/>
  <c r="V626" i="1" s="1"/>
  <c r="O625" i="1"/>
  <c r="V625" i="1" s="1"/>
  <c r="O624" i="1"/>
  <c r="V624" i="1" s="1"/>
  <c r="O623" i="1"/>
  <c r="V623" i="1" s="1"/>
  <c r="O622" i="1"/>
  <c r="V622" i="1" s="1"/>
  <c r="O621" i="1"/>
  <c r="V621" i="1" s="1"/>
  <c r="O620" i="1"/>
  <c r="V620" i="1" s="1"/>
  <c r="O619" i="1"/>
  <c r="V619" i="1" s="1"/>
  <c r="O618" i="1"/>
  <c r="V618" i="1" s="1"/>
  <c r="O617" i="1"/>
  <c r="V617" i="1" s="1"/>
  <c r="O616" i="1"/>
  <c r="V616" i="1" s="1"/>
  <c r="O615" i="1"/>
  <c r="V615" i="1" s="1"/>
  <c r="O614" i="1"/>
  <c r="V614" i="1" s="1"/>
  <c r="L632" i="1"/>
  <c r="T632" i="1" s="1"/>
  <c r="L631" i="1"/>
  <c r="T631" i="1" s="1"/>
  <c r="L630" i="1"/>
  <c r="T630" i="1" s="1"/>
  <c r="L629" i="1"/>
  <c r="T629" i="1" s="1"/>
  <c r="L628" i="1"/>
  <c r="T628" i="1" s="1"/>
  <c r="L627" i="1"/>
  <c r="T627" i="1" s="1"/>
  <c r="L626" i="1"/>
  <c r="T626" i="1" s="1"/>
  <c r="L625" i="1"/>
  <c r="T625" i="1" s="1"/>
  <c r="L624" i="1"/>
  <c r="T624" i="1" s="1"/>
  <c r="L623" i="1"/>
  <c r="T623" i="1" s="1"/>
  <c r="L622" i="1"/>
  <c r="T622" i="1" s="1"/>
  <c r="L621" i="1"/>
  <c r="T621" i="1" s="1"/>
  <c r="L620" i="1"/>
  <c r="T620" i="1" s="1"/>
  <c r="L619" i="1"/>
  <c r="T619" i="1" s="1"/>
  <c r="L618" i="1"/>
  <c r="T618" i="1" s="1"/>
  <c r="L617" i="1"/>
  <c r="T617" i="1" s="1"/>
  <c r="L616" i="1"/>
  <c r="T616" i="1" s="1"/>
  <c r="L615" i="1"/>
  <c r="T615" i="1" s="1"/>
  <c r="L614" i="1"/>
  <c r="T614" i="1" s="1"/>
  <c r="C632" i="1"/>
  <c r="C631" i="1"/>
  <c r="C630" i="1"/>
  <c r="C629" i="1"/>
  <c r="C628" i="1"/>
  <c r="C627" i="1"/>
  <c r="C626" i="1"/>
  <c r="C625" i="1"/>
  <c r="C624" i="1"/>
  <c r="C623" i="1"/>
  <c r="C622" i="1"/>
  <c r="C621" i="1"/>
  <c r="C620" i="1"/>
  <c r="C619" i="1"/>
  <c r="C618" i="1"/>
  <c r="C617" i="1"/>
  <c r="C616" i="1"/>
  <c r="C615" i="1"/>
  <c r="C614" i="1"/>
  <c r="R613" i="1"/>
  <c r="X613" i="1" s="1"/>
  <c r="R612" i="1"/>
  <c r="X612" i="1" s="1"/>
  <c r="R611" i="1"/>
  <c r="X611" i="1" s="1"/>
  <c r="R610" i="1"/>
  <c r="X610" i="1" s="1"/>
  <c r="R609" i="1"/>
  <c r="X609" i="1" s="1"/>
  <c r="R608" i="1"/>
  <c r="X608" i="1" s="1"/>
  <c r="O613" i="1"/>
  <c r="V613" i="1" s="1"/>
  <c r="O612" i="1"/>
  <c r="V612" i="1" s="1"/>
  <c r="O611" i="1"/>
  <c r="V611" i="1" s="1"/>
  <c r="O610" i="1"/>
  <c r="V610" i="1" s="1"/>
  <c r="O609" i="1"/>
  <c r="V609" i="1" s="1"/>
  <c r="O608" i="1"/>
  <c r="V608" i="1" s="1"/>
  <c r="L613" i="1"/>
  <c r="T613" i="1" s="1"/>
  <c r="L612" i="1"/>
  <c r="T612" i="1" s="1"/>
  <c r="L611" i="1"/>
  <c r="T611" i="1" s="1"/>
  <c r="L610" i="1"/>
  <c r="T610" i="1" s="1"/>
  <c r="L609" i="1"/>
  <c r="T609" i="1" s="1"/>
  <c r="L608" i="1"/>
  <c r="T608" i="1" s="1"/>
  <c r="C613" i="1"/>
  <c r="C612" i="1"/>
  <c r="C611" i="1"/>
  <c r="C610" i="1"/>
  <c r="C609" i="1"/>
  <c r="C608" i="1"/>
  <c r="R599" i="1"/>
  <c r="X599" i="1" s="1"/>
  <c r="R600" i="1"/>
  <c r="X600" i="1" s="1"/>
  <c r="R601" i="1"/>
  <c r="X601" i="1" s="1"/>
  <c r="R602" i="1"/>
  <c r="X602" i="1" s="1"/>
  <c r="R603" i="1"/>
  <c r="X603" i="1" s="1"/>
  <c r="R604" i="1"/>
  <c r="X604" i="1" s="1"/>
  <c r="R605" i="1"/>
  <c r="X605" i="1" s="1"/>
  <c r="R606" i="1"/>
  <c r="X606" i="1" s="1"/>
  <c r="R607" i="1"/>
  <c r="X607" i="1" s="1"/>
  <c r="O607" i="1"/>
  <c r="V607" i="1" s="1"/>
  <c r="O606" i="1"/>
  <c r="V606" i="1" s="1"/>
  <c r="O605" i="1"/>
  <c r="V605" i="1" s="1"/>
  <c r="O604" i="1"/>
  <c r="V604" i="1" s="1"/>
  <c r="O603" i="1"/>
  <c r="V603" i="1" s="1"/>
  <c r="O602" i="1"/>
  <c r="V602" i="1" s="1"/>
  <c r="O601" i="1"/>
  <c r="V601" i="1" s="1"/>
  <c r="O600" i="1"/>
  <c r="V600" i="1" s="1"/>
  <c r="O599" i="1"/>
  <c r="V599" i="1" s="1"/>
  <c r="L607" i="1"/>
  <c r="T607" i="1" s="1"/>
  <c r="L606" i="1"/>
  <c r="T606" i="1" s="1"/>
  <c r="L605" i="1"/>
  <c r="T605" i="1" s="1"/>
  <c r="L604" i="1"/>
  <c r="T604" i="1" s="1"/>
  <c r="L603" i="1"/>
  <c r="T603" i="1" s="1"/>
  <c r="L602" i="1"/>
  <c r="T602" i="1" s="1"/>
  <c r="L601" i="1"/>
  <c r="T601" i="1" s="1"/>
  <c r="L600" i="1"/>
  <c r="T600" i="1" s="1"/>
  <c r="L599" i="1"/>
  <c r="T599" i="1" s="1"/>
  <c r="C607" i="1"/>
  <c r="C606" i="1"/>
  <c r="C605" i="1"/>
  <c r="C604" i="1"/>
  <c r="C603" i="1"/>
  <c r="C602" i="1"/>
  <c r="C601" i="1"/>
  <c r="C600" i="1"/>
  <c r="C599" i="1"/>
  <c r="O598" i="1"/>
  <c r="V598" i="1" s="1"/>
  <c r="O597" i="1"/>
  <c r="V597" i="1" s="1"/>
  <c r="O596" i="1"/>
  <c r="V596" i="1" s="1"/>
  <c r="O595" i="1"/>
  <c r="V595" i="1" s="1"/>
  <c r="O594" i="1"/>
  <c r="V594" i="1" s="1"/>
  <c r="O593" i="1"/>
  <c r="V593" i="1" s="1"/>
  <c r="L598" i="1"/>
  <c r="T598" i="1" s="1"/>
  <c r="L597" i="1"/>
  <c r="T597" i="1" s="1"/>
  <c r="L596" i="1"/>
  <c r="T596" i="1" s="1"/>
  <c r="L595" i="1"/>
  <c r="T595" i="1" s="1"/>
  <c r="L594" i="1"/>
  <c r="T594" i="1" s="1"/>
  <c r="L593" i="1"/>
  <c r="T593" i="1" s="1"/>
  <c r="C598" i="1"/>
  <c r="C597" i="1"/>
  <c r="C596" i="1"/>
  <c r="C595" i="1"/>
  <c r="C594" i="1"/>
  <c r="C593" i="1"/>
  <c r="O592" i="1"/>
  <c r="V592" i="1" s="1"/>
  <c r="L592" i="1"/>
  <c r="T592" i="1" s="1"/>
  <c r="C592" i="1"/>
  <c r="O591" i="1"/>
  <c r="V591" i="1" s="1"/>
  <c r="L591" i="1"/>
  <c r="T591" i="1" s="1"/>
  <c r="C591" i="1"/>
  <c r="O590" i="1"/>
  <c r="V590" i="1" s="1"/>
  <c r="L590" i="1"/>
  <c r="T590" i="1" s="1"/>
  <c r="C590" i="1"/>
  <c r="O589" i="1"/>
  <c r="V589" i="1" s="1"/>
  <c r="L589" i="1"/>
  <c r="T589" i="1" s="1"/>
  <c r="C589" i="1"/>
  <c r="O588" i="1"/>
  <c r="V588" i="1" s="1"/>
  <c r="L588" i="1"/>
  <c r="T588" i="1" s="1"/>
  <c r="C588" i="1"/>
  <c r="O587" i="1"/>
  <c r="V587" i="1" s="1"/>
  <c r="L587" i="1"/>
  <c r="T587" i="1" s="1"/>
  <c r="C587" i="1"/>
  <c r="O586" i="1"/>
  <c r="V586" i="1" s="1"/>
  <c r="L586" i="1"/>
  <c r="T586" i="1" s="1"/>
  <c r="C586" i="1"/>
  <c r="O585" i="1"/>
  <c r="V585" i="1" s="1"/>
  <c r="L585" i="1"/>
  <c r="T585" i="1" s="1"/>
  <c r="C585" i="1"/>
  <c r="O584" i="1"/>
  <c r="V584" i="1" s="1"/>
  <c r="O583" i="1"/>
  <c r="V583" i="1" s="1"/>
  <c r="O582" i="1"/>
  <c r="V582" i="1" s="1"/>
  <c r="O581" i="1"/>
  <c r="V581" i="1" s="1"/>
  <c r="L584" i="1"/>
  <c r="T584" i="1" s="1"/>
  <c r="L583" i="1"/>
  <c r="T583" i="1" s="1"/>
  <c r="L582" i="1"/>
  <c r="T582" i="1" s="1"/>
  <c r="L581" i="1"/>
  <c r="T581" i="1" s="1"/>
  <c r="C584" i="1"/>
  <c r="C583" i="1"/>
  <c r="C582" i="1"/>
  <c r="C581" i="1"/>
  <c r="R580" i="1"/>
  <c r="X580" i="1" s="1"/>
  <c r="R579" i="1"/>
  <c r="X579" i="1" s="1"/>
  <c r="R578" i="1"/>
  <c r="X578" i="1" s="1"/>
  <c r="R577" i="1"/>
  <c r="X577" i="1" s="1"/>
  <c r="R576" i="1"/>
  <c r="X576" i="1" s="1"/>
  <c r="O580" i="1"/>
  <c r="V580" i="1" s="1"/>
  <c r="O579" i="1"/>
  <c r="V579" i="1" s="1"/>
  <c r="O578" i="1"/>
  <c r="V578" i="1" s="1"/>
  <c r="O577" i="1"/>
  <c r="V577" i="1" s="1"/>
  <c r="O576" i="1"/>
  <c r="V576" i="1" s="1"/>
  <c r="L580" i="1"/>
  <c r="T580" i="1" s="1"/>
  <c r="L579" i="1"/>
  <c r="T579" i="1" s="1"/>
  <c r="L578" i="1"/>
  <c r="T578" i="1" s="1"/>
  <c r="L577" i="1"/>
  <c r="T577" i="1" s="1"/>
  <c r="L576" i="1"/>
  <c r="T576" i="1" s="1"/>
  <c r="C580" i="1"/>
  <c r="C579" i="1"/>
  <c r="C578" i="1"/>
  <c r="C577" i="1"/>
  <c r="C576" i="1"/>
  <c r="R572" i="1"/>
  <c r="X572" i="1" s="1"/>
  <c r="R573" i="1"/>
  <c r="X573" i="1" s="1"/>
  <c r="R574" i="1"/>
  <c r="X574" i="1" s="1"/>
  <c r="R575" i="1"/>
  <c r="X575" i="1" s="1"/>
  <c r="O575" i="1"/>
  <c r="V575" i="1" s="1"/>
  <c r="O574" i="1"/>
  <c r="V574" i="1" s="1"/>
  <c r="O573" i="1"/>
  <c r="V573" i="1" s="1"/>
  <c r="O572" i="1"/>
  <c r="V572" i="1" s="1"/>
  <c r="L575" i="1"/>
  <c r="T575" i="1" s="1"/>
  <c r="L574" i="1"/>
  <c r="T574" i="1" s="1"/>
  <c r="L573" i="1"/>
  <c r="T573" i="1" s="1"/>
  <c r="L572" i="1"/>
  <c r="T572" i="1" s="1"/>
  <c r="C575" i="1"/>
  <c r="C574" i="1"/>
  <c r="C573" i="1"/>
  <c r="C572" i="1"/>
  <c r="O571" i="1"/>
  <c r="V571" i="1" s="1"/>
  <c r="O570" i="1"/>
  <c r="V570" i="1" s="1"/>
  <c r="O569" i="1"/>
  <c r="V569" i="1" s="1"/>
  <c r="O568" i="1"/>
  <c r="V568" i="1" s="1"/>
  <c r="O567" i="1"/>
  <c r="V567" i="1" s="1"/>
  <c r="O566" i="1"/>
  <c r="V566" i="1" s="1"/>
  <c r="L571" i="1"/>
  <c r="T571" i="1" s="1"/>
  <c r="L570" i="1"/>
  <c r="T570" i="1" s="1"/>
  <c r="L569" i="1"/>
  <c r="T569" i="1" s="1"/>
  <c r="L568" i="1"/>
  <c r="T568" i="1" s="1"/>
  <c r="L567" i="1"/>
  <c r="T567" i="1" s="1"/>
  <c r="L566" i="1"/>
  <c r="T566" i="1" s="1"/>
  <c r="C571" i="1"/>
  <c r="C570" i="1"/>
  <c r="C569" i="1"/>
  <c r="C568" i="1"/>
  <c r="C567" i="1"/>
  <c r="C566" i="1"/>
  <c r="O565" i="1"/>
  <c r="V565" i="1" s="1"/>
  <c r="O564" i="1"/>
  <c r="V564" i="1" s="1"/>
  <c r="O563" i="1"/>
  <c r="V563" i="1" s="1"/>
  <c r="O562" i="1"/>
  <c r="V562" i="1" s="1"/>
  <c r="O561" i="1"/>
  <c r="V561" i="1" s="1"/>
  <c r="O560" i="1"/>
  <c r="V560" i="1" s="1"/>
  <c r="L565" i="1"/>
  <c r="T565" i="1" s="1"/>
  <c r="L564" i="1"/>
  <c r="T564" i="1" s="1"/>
  <c r="L563" i="1"/>
  <c r="T563" i="1" s="1"/>
  <c r="L562" i="1"/>
  <c r="T562" i="1" s="1"/>
  <c r="L561" i="1"/>
  <c r="T561" i="1" s="1"/>
  <c r="L560" i="1"/>
  <c r="T560" i="1" s="1"/>
  <c r="C565" i="1"/>
  <c r="C564" i="1"/>
  <c r="C563" i="1"/>
  <c r="C562" i="1"/>
  <c r="C561" i="1"/>
  <c r="C560" i="1"/>
  <c r="R550" i="1"/>
  <c r="X550" i="1" s="1"/>
  <c r="R551" i="1"/>
  <c r="X551" i="1" s="1"/>
  <c r="R552" i="1"/>
  <c r="X552" i="1" s="1"/>
  <c r="R553" i="1"/>
  <c r="X553" i="1" s="1"/>
  <c r="R554" i="1"/>
  <c r="X554" i="1" s="1"/>
  <c r="R555" i="1"/>
  <c r="X555" i="1" s="1"/>
  <c r="R556" i="1"/>
  <c r="X556" i="1" s="1"/>
  <c r="R557" i="1"/>
  <c r="X557" i="1" s="1"/>
  <c r="R558" i="1"/>
  <c r="X558" i="1" s="1"/>
  <c r="R559" i="1"/>
  <c r="X559" i="1" s="1"/>
  <c r="O550" i="1"/>
  <c r="V550" i="1" s="1"/>
  <c r="O551" i="1"/>
  <c r="V551" i="1" s="1"/>
  <c r="O552" i="1"/>
  <c r="V552" i="1" s="1"/>
  <c r="O553" i="1"/>
  <c r="V553" i="1" s="1"/>
  <c r="O554" i="1"/>
  <c r="V554" i="1" s="1"/>
  <c r="O555" i="1"/>
  <c r="V555" i="1" s="1"/>
  <c r="O556" i="1"/>
  <c r="V556" i="1" s="1"/>
  <c r="O557" i="1"/>
  <c r="V557" i="1" s="1"/>
  <c r="O558" i="1"/>
  <c r="V558" i="1" s="1"/>
  <c r="O559" i="1"/>
  <c r="V559" i="1" s="1"/>
  <c r="L559" i="1"/>
  <c r="T559" i="1" s="1"/>
  <c r="L558" i="1"/>
  <c r="T558" i="1" s="1"/>
  <c r="L557" i="1"/>
  <c r="T557" i="1" s="1"/>
  <c r="L556" i="1"/>
  <c r="T556" i="1" s="1"/>
  <c r="L555" i="1"/>
  <c r="T555" i="1" s="1"/>
  <c r="L554" i="1"/>
  <c r="T554" i="1" s="1"/>
  <c r="L553" i="1"/>
  <c r="T553" i="1" s="1"/>
  <c r="L552" i="1"/>
  <c r="T552" i="1" s="1"/>
  <c r="L551" i="1"/>
  <c r="T551" i="1" s="1"/>
  <c r="L550" i="1"/>
  <c r="T550" i="1" s="1"/>
  <c r="C558" i="1"/>
  <c r="C554" i="1"/>
  <c r="C559" i="1"/>
  <c r="C557" i="1"/>
  <c r="C556" i="1"/>
  <c r="C555" i="1"/>
  <c r="C553" i="1"/>
  <c r="C552" i="1"/>
  <c r="C551" i="1"/>
  <c r="C550" i="1"/>
  <c r="L549" i="1"/>
  <c r="T549" i="1" s="1"/>
  <c r="L548" i="1"/>
  <c r="T548" i="1" s="1"/>
  <c r="L547" i="1"/>
  <c r="T547" i="1" s="1"/>
  <c r="C549" i="1"/>
  <c r="C548" i="1"/>
  <c r="C547" i="1"/>
  <c r="L546" i="1"/>
  <c r="T546" i="1" s="1"/>
  <c r="C546" i="1"/>
  <c r="R545" i="1"/>
  <c r="X545" i="1" s="1"/>
  <c r="R544" i="1"/>
  <c r="X544" i="1" s="1"/>
  <c r="R543" i="1"/>
  <c r="X543" i="1" s="1"/>
  <c r="R542" i="1"/>
  <c r="X542" i="1" s="1"/>
  <c r="R541" i="1"/>
  <c r="X541" i="1" s="1"/>
  <c r="R540" i="1"/>
  <c r="X540" i="1" s="1"/>
  <c r="O545" i="1"/>
  <c r="V545" i="1" s="1"/>
  <c r="O544" i="1"/>
  <c r="V544" i="1" s="1"/>
  <c r="O543" i="1"/>
  <c r="V543" i="1" s="1"/>
  <c r="O542" i="1"/>
  <c r="V542" i="1" s="1"/>
  <c r="O541" i="1"/>
  <c r="V541" i="1" s="1"/>
  <c r="O540" i="1"/>
  <c r="V540" i="1" s="1"/>
  <c r="L543" i="1"/>
  <c r="T543" i="1" s="1"/>
  <c r="L544" i="1"/>
  <c r="T544" i="1" s="1"/>
  <c r="L545" i="1"/>
  <c r="T545" i="1" s="1"/>
  <c r="L542" i="1"/>
  <c r="T542" i="1" s="1"/>
  <c r="L541" i="1"/>
  <c r="T541" i="1" s="1"/>
  <c r="L540" i="1"/>
  <c r="T540" i="1" s="1"/>
  <c r="C545" i="1"/>
  <c r="C544" i="1"/>
  <c r="C543" i="1"/>
  <c r="C542" i="1"/>
  <c r="C541" i="1"/>
  <c r="C540" i="1"/>
  <c r="L539" i="1"/>
  <c r="T539" i="1" s="1"/>
  <c r="L538" i="1"/>
  <c r="T538" i="1" s="1"/>
  <c r="L537" i="1"/>
  <c r="T537" i="1" s="1"/>
  <c r="L536" i="1"/>
  <c r="T536" i="1" s="1"/>
  <c r="L535" i="1"/>
  <c r="T535" i="1" s="1"/>
  <c r="L534" i="1"/>
  <c r="T534" i="1" s="1"/>
  <c r="O534" i="1"/>
  <c r="V534" i="1" s="1"/>
  <c r="O535" i="1"/>
  <c r="V535" i="1" s="1"/>
  <c r="O536" i="1"/>
  <c r="V536" i="1" s="1"/>
  <c r="O537" i="1"/>
  <c r="V537" i="1" s="1"/>
  <c r="O538" i="1"/>
  <c r="V538" i="1" s="1"/>
  <c r="O539" i="1"/>
  <c r="V539" i="1" s="1"/>
  <c r="R534" i="1"/>
  <c r="X534" i="1" s="1"/>
  <c r="R535" i="1"/>
  <c r="X535" i="1" s="1"/>
  <c r="R536" i="1"/>
  <c r="X536" i="1" s="1"/>
  <c r="R537" i="1"/>
  <c r="X537" i="1" s="1"/>
  <c r="R538" i="1"/>
  <c r="X538" i="1" s="1"/>
  <c r="R539" i="1"/>
  <c r="X539" i="1" s="1"/>
  <c r="C539" i="1"/>
  <c r="C538" i="1"/>
  <c r="C537" i="1"/>
  <c r="C536" i="1"/>
  <c r="C535" i="1"/>
  <c r="C534" i="1"/>
  <c r="R527" i="1"/>
  <c r="X527" i="1" s="1"/>
  <c r="R528" i="1"/>
  <c r="X528" i="1" s="1"/>
  <c r="R529" i="1"/>
  <c r="X529" i="1" s="1"/>
  <c r="R526" i="1"/>
  <c r="X526" i="1" s="1"/>
  <c r="O531" i="1"/>
  <c r="V531" i="1" s="1"/>
  <c r="O530" i="1"/>
  <c r="V530" i="1" s="1"/>
  <c r="O529" i="1"/>
  <c r="V529" i="1" s="1"/>
  <c r="O528" i="1"/>
  <c r="V528" i="1" s="1"/>
  <c r="O527" i="1"/>
  <c r="V527" i="1" s="1"/>
  <c r="O526" i="1"/>
  <c r="V526" i="1" s="1"/>
  <c r="L533" i="1"/>
  <c r="T533" i="1" s="1"/>
  <c r="L532" i="1"/>
  <c r="T532" i="1" s="1"/>
  <c r="L531" i="1"/>
  <c r="T531" i="1" s="1"/>
  <c r="L530" i="1"/>
  <c r="T530" i="1" s="1"/>
  <c r="L529" i="1"/>
  <c r="T529" i="1" s="1"/>
  <c r="L528" i="1"/>
  <c r="T528" i="1" s="1"/>
  <c r="L527" i="1"/>
  <c r="T527" i="1" s="1"/>
  <c r="L526" i="1"/>
  <c r="T526" i="1" s="1"/>
  <c r="C533" i="1"/>
  <c r="C532" i="1"/>
  <c r="C531" i="1"/>
  <c r="C530" i="1"/>
  <c r="C529" i="1"/>
  <c r="C528" i="1"/>
  <c r="C527" i="1"/>
  <c r="C526" i="1"/>
  <c r="R525" i="1"/>
  <c r="X525" i="1" s="1"/>
  <c r="R524" i="1"/>
  <c r="X524" i="1" s="1"/>
  <c r="O524" i="1"/>
  <c r="V524" i="1" s="1"/>
  <c r="O525" i="1"/>
  <c r="V525" i="1" s="1"/>
  <c r="L525" i="1"/>
  <c r="T525" i="1" s="1"/>
  <c r="L524" i="1"/>
  <c r="T524" i="1" s="1"/>
  <c r="C525" i="1"/>
  <c r="C524" i="1"/>
  <c r="R512" i="1"/>
  <c r="X512" i="1" s="1"/>
  <c r="R513" i="1"/>
  <c r="X513" i="1" s="1"/>
  <c r="R514" i="1"/>
  <c r="X514" i="1" s="1"/>
  <c r="R515" i="1"/>
  <c r="X515" i="1" s="1"/>
  <c r="R516" i="1"/>
  <c r="X516" i="1" s="1"/>
  <c r="R517" i="1"/>
  <c r="X517" i="1" s="1"/>
  <c r="R518" i="1"/>
  <c r="X518" i="1" s="1"/>
  <c r="R519" i="1"/>
  <c r="X519" i="1" s="1"/>
  <c r="R520" i="1"/>
  <c r="X520" i="1" s="1"/>
  <c r="R521" i="1"/>
  <c r="X521" i="1" s="1"/>
  <c r="R522" i="1"/>
  <c r="X522" i="1" s="1"/>
  <c r="R523" i="1"/>
  <c r="X523" i="1" s="1"/>
  <c r="O523" i="1"/>
  <c r="V523" i="1" s="1"/>
  <c r="O522" i="1"/>
  <c r="V522" i="1" s="1"/>
  <c r="O521" i="1"/>
  <c r="V521" i="1" s="1"/>
  <c r="O520" i="1"/>
  <c r="V520" i="1" s="1"/>
  <c r="O519" i="1"/>
  <c r="V519" i="1" s="1"/>
  <c r="O518" i="1"/>
  <c r="V518" i="1" s="1"/>
  <c r="O517" i="1"/>
  <c r="V517" i="1" s="1"/>
  <c r="O516" i="1"/>
  <c r="V516" i="1" s="1"/>
  <c r="O515" i="1"/>
  <c r="V515" i="1" s="1"/>
  <c r="O514" i="1"/>
  <c r="V514" i="1" s="1"/>
  <c r="O513" i="1"/>
  <c r="V513" i="1" s="1"/>
  <c r="O512" i="1"/>
  <c r="V512" i="1" s="1"/>
  <c r="L523" i="1"/>
  <c r="T523" i="1" s="1"/>
  <c r="L522" i="1"/>
  <c r="T522" i="1" s="1"/>
  <c r="L521" i="1"/>
  <c r="T521" i="1" s="1"/>
  <c r="L520" i="1"/>
  <c r="T520" i="1" s="1"/>
  <c r="L519" i="1"/>
  <c r="T519" i="1" s="1"/>
  <c r="L518" i="1"/>
  <c r="T518" i="1" s="1"/>
  <c r="L517" i="1"/>
  <c r="T517" i="1" s="1"/>
  <c r="L516" i="1"/>
  <c r="T516" i="1" s="1"/>
  <c r="L515" i="1"/>
  <c r="T515" i="1" s="1"/>
  <c r="L514" i="1"/>
  <c r="T514" i="1" s="1"/>
  <c r="L513" i="1"/>
  <c r="T513" i="1" s="1"/>
  <c r="L512" i="1"/>
  <c r="T512" i="1" s="1"/>
  <c r="C523" i="1"/>
  <c r="C522" i="1"/>
  <c r="C521" i="1"/>
  <c r="C520" i="1"/>
  <c r="C519" i="1"/>
  <c r="C518" i="1"/>
  <c r="C517" i="1"/>
  <c r="C516" i="1"/>
  <c r="C515" i="1"/>
  <c r="C514" i="1"/>
  <c r="C513" i="1"/>
  <c r="C512" i="1"/>
  <c r="O511" i="1"/>
  <c r="V511" i="1" s="1"/>
  <c r="O510" i="1"/>
  <c r="V510" i="1" s="1"/>
  <c r="O509" i="1"/>
  <c r="V509" i="1" s="1"/>
  <c r="O508" i="1"/>
  <c r="V508" i="1" s="1"/>
  <c r="O507" i="1"/>
  <c r="V507" i="1" s="1"/>
  <c r="O506" i="1"/>
  <c r="V506" i="1" s="1"/>
  <c r="L511" i="1"/>
  <c r="T511" i="1" s="1"/>
  <c r="L510" i="1"/>
  <c r="T510" i="1" s="1"/>
  <c r="L509" i="1"/>
  <c r="T509" i="1" s="1"/>
  <c r="L508" i="1"/>
  <c r="T508" i="1" s="1"/>
  <c r="L507" i="1"/>
  <c r="T507" i="1" s="1"/>
  <c r="L506" i="1"/>
  <c r="T506" i="1" s="1"/>
  <c r="C511" i="1"/>
  <c r="C510" i="1"/>
  <c r="C509" i="1"/>
  <c r="C508" i="1"/>
  <c r="C507" i="1"/>
  <c r="C506" i="1"/>
  <c r="O505" i="1"/>
  <c r="V505" i="1" s="1"/>
  <c r="O504" i="1"/>
  <c r="V504" i="1" s="1"/>
  <c r="O503" i="1"/>
  <c r="V503" i="1" s="1"/>
  <c r="O502" i="1"/>
  <c r="V502" i="1" s="1"/>
  <c r="O501" i="1"/>
  <c r="V501" i="1" s="1"/>
  <c r="O500" i="1"/>
  <c r="V500" i="1" s="1"/>
  <c r="O499" i="1"/>
  <c r="V499" i="1" s="1"/>
  <c r="O498" i="1"/>
  <c r="V498" i="1" s="1"/>
  <c r="O497" i="1"/>
  <c r="V497" i="1" s="1"/>
  <c r="O496" i="1"/>
  <c r="V496" i="1" s="1"/>
  <c r="O495" i="1"/>
  <c r="V495" i="1" s="1"/>
  <c r="O494" i="1"/>
  <c r="V494" i="1" s="1"/>
  <c r="O493" i="1"/>
  <c r="V493" i="1" s="1"/>
  <c r="O492" i="1"/>
  <c r="V492" i="1" s="1"/>
  <c r="O491" i="1"/>
  <c r="V491" i="1" s="1"/>
  <c r="O490" i="1"/>
  <c r="V490" i="1" s="1"/>
  <c r="O489" i="1"/>
  <c r="V489" i="1" s="1"/>
  <c r="O488" i="1"/>
  <c r="V488" i="1" s="1"/>
  <c r="L505" i="1"/>
  <c r="T505" i="1" s="1"/>
  <c r="L504" i="1"/>
  <c r="T504" i="1" s="1"/>
  <c r="L503" i="1"/>
  <c r="T503" i="1" s="1"/>
  <c r="L502" i="1"/>
  <c r="T502" i="1" s="1"/>
  <c r="L501" i="1"/>
  <c r="T501" i="1" s="1"/>
  <c r="L500" i="1"/>
  <c r="T500" i="1" s="1"/>
  <c r="L499" i="1"/>
  <c r="T499" i="1" s="1"/>
  <c r="L498" i="1"/>
  <c r="T498" i="1" s="1"/>
  <c r="L497" i="1"/>
  <c r="T497" i="1" s="1"/>
  <c r="L496" i="1"/>
  <c r="T496" i="1" s="1"/>
  <c r="L495" i="1"/>
  <c r="T495" i="1" s="1"/>
  <c r="L494" i="1"/>
  <c r="T494" i="1" s="1"/>
  <c r="L493" i="1"/>
  <c r="T493" i="1" s="1"/>
  <c r="L492" i="1"/>
  <c r="T492" i="1" s="1"/>
  <c r="L491" i="1"/>
  <c r="T491" i="1" s="1"/>
  <c r="L490" i="1"/>
  <c r="T490" i="1" s="1"/>
  <c r="L489" i="1"/>
  <c r="T489" i="1" s="1"/>
  <c r="L488" i="1"/>
  <c r="T488" i="1" s="1"/>
  <c r="C505" i="1"/>
  <c r="C504" i="1"/>
  <c r="C503" i="1"/>
  <c r="C502" i="1"/>
  <c r="C501" i="1"/>
  <c r="C500" i="1"/>
  <c r="C499" i="1"/>
  <c r="C498" i="1"/>
  <c r="C497" i="1"/>
  <c r="C496" i="1"/>
  <c r="C495" i="1"/>
  <c r="C494" i="1"/>
  <c r="C493" i="1"/>
  <c r="C492" i="1"/>
  <c r="C491" i="1"/>
  <c r="C490" i="1"/>
  <c r="C489" i="1"/>
  <c r="C488" i="1"/>
  <c r="O487" i="1"/>
  <c r="V487" i="1" s="1"/>
  <c r="O486" i="1"/>
  <c r="V486" i="1" s="1"/>
  <c r="O485" i="1"/>
  <c r="V485" i="1" s="1"/>
  <c r="L487" i="1"/>
  <c r="T487" i="1" s="1"/>
  <c r="L486" i="1"/>
  <c r="T486" i="1" s="1"/>
  <c r="L485" i="1"/>
  <c r="T485" i="1" s="1"/>
  <c r="C485" i="1"/>
  <c r="C486" i="1"/>
  <c r="C487" i="1"/>
  <c r="R478" i="1"/>
  <c r="X478" i="1" s="1"/>
  <c r="R477" i="1"/>
  <c r="X477" i="1" s="1"/>
  <c r="R476" i="1"/>
  <c r="X476" i="1" s="1"/>
  <c r="R475" i="1"/>
  <c r="X475" i="1" s="1"/>
  <c r="R474" i="1"/>
  <c r="X474" i="1" s="1"/>
  <c r="R473" i="1"/>
  <c r="X473" i="1" s="1"/>
  <c r="O484" i="1"/>
  <c r="V484" i="1" s="1"/>
  <c r="O483" i="1"/>
  <c r="V483" i="1" s="1"/>
  <c r="O482" i="1"/>
  <c r="V482" i="1" s="1"/>
  <c r="O481" i="1"/>
  <c r="V481" i="1" s="1"/>
  <c r="O480" i="1"/>
  <c r="V480" i="1" s="1"/>
  <c r="O479" i="1"/>
  <c r="V479" i="1" s="1"/>
  <c r="O478" i="1"/>
  <c r="V478" i="1" s="1"/>
  <c r="O477" i="1"/>
  <c r="V477" i="1" s="1"/>
  <c r="O476" i="1"/>
  <c r="V476" i="1" s="1"/>
  <c r="O475" i="1"/>
  <c r="V475" i="1" s="1"/>
  <c r="O474" i="1"/>
  <c r="V474" i="1" s="1"/>
  <c r="O473" i="1"/>
  <c r="V473" i="1" s="1"/>
  <c r="L483" i="1"/>
  <c r="T483" i="1" s="1"/>
  <c r="L484" i="1"/>
  <c r="T484" i="1" s="1"/>
  <c r="L482" i="1"/>
  <c r="T482" i="1" s="1"/>
  <c r="L481" i="1"/>
  <c r="T481" i="1" s="1"/>
  <c r="L480" i="1"/>
  <c r="T480" i="1" s="1"/>
  <c r="L479" i="1"/>
  <c r="T479" i="1" s="1"/>
  <c r="L478" i="1"/>
  <c r="T478" i="1" s="1"/>
  <c r="L477" i="1"/>
  <c r="T477" i="1" s="1"/>
  <c r="L476" i="1"/>
  <c r="T476" i="1" s="1"/>
  <c r="L475" i="1"/>
  <c r="T475" i="1" s="1"/>
  <c r="L474" i="1"/>
  <c r="T474" i="1" s="1"/>
  <c r="L473" i="1"/>
  <c r="T473" i="1" s="1"/>
  <c r="C484" i="1"/>
  <c r="C483" i="1"/>
  <c r="C482" i="1"/>
  <c r="C481" i="1"/>
  <c r="C480" i="1"/>
  <c r="C479" i="1"/>
  <c r="C478" i="1"/>
  <c r="C477" i="1"/>
  <c r="C476" i="1"/>
  <c r="C475" i="1"/>
  <c r="C474" i="1"/>
  <c r="C473" i="1"/>
  <c r="R467" i="1"/>
  <c r="X467" i="1" s="1"/>
  <c r="R468" i="1"/>
  <c r="X468" i="1" s="1"/>
  <c r="R469" i="1"/>
  <c r="X469" i="1" s="1"/>
  <c r="R470" i="1"/>
  <c r="X470" i="1" s="1"/>
  <c r="R471" i="1"/>
  <c r="X471" i="1" s="1"/>
  <c r="R472" i="1"/>
  <c r="X472" i="1" s="1"/>
  <c r="O467" i="1"/>
  <c r="V467" i="1" s="1"/>
  <c r="O468" i="1"/>
  <c r="V468" i="1" s="1"/>
  <c r="O469" i="1"/>
  <c r="V469" i="1" s="1"/>
  <c r="O470" i="1"/>
  <c r="V470" i="1" s="1"/>
  <c r="O471" i="1"/>
  <c r="V471" i="1" s="1"/>
  <c r="O472" i="1"/>
  <c r="V472" i="1" s="1"/>
  <c r="L472" i="1"/>
  <c r="T472" i="1" s="1"/>
  <c r="L471" i="1"/>
  <c r="T471" i="1" s="1"/>
  <c r="L470" i="1"/>
  <c r="T470" i="1" s="1"/>
  <c r="L469" i="1"/>
  <c r="T469" i="1" s="1"/>
  <c r="L468" i="1"/>
  <c r="T468" i="1" s="1"/>
  <c r="L467" i="1"/>
  <c r="T467" i="1" s="1"/>
  <c r="C472" i="1"/>
  <c r="C471" i="1"/>
  <c r="C470" i="1"/>
  <c r="C469" i="1"/>
  <c r="C468" i="1"/>
  <c r="C467" i="1"/>
  <c r="L55" i="1"/>
  <c r="T55" i="1" s="1"/>
  <c r="L56" i="1"/>
  <c r="T56" i="1" s="1"/>
  <c r="L57" i="1"/>
  <c r="T57" i="1" s="1"/>
  <c r="L58" i="1"/>
  <c r="T58" i="1" s="1"/>
  <c r="L59" i="1"/>
  <c r="T59" i="1" s="1"/>
  <c r="L60" i="1"/>
  <c r="T60" i="1" s="1"/>
  <c r="L54" i="1"/>
  <c r="T54" i="1" s="1"/>
  <c r="L53" i="1"/>
  <c r="T53" i="1" s="1"/>
  <c r="L52" i="1"/>
  <c r="T52" i="1" s="1"/>
  <c r="L51" i="1"/>
  <c r="T51" i="1" s="1"/>
  <c r="L50" i="1"/>
  <c r="T50" i="1" s="1"/>
  <c r="L49" i="1"/>
  <c r="T49" i="1" s="1"/>
  <c r="L48" i="1"/>
  <c r="T48" i="1" s="1"/>
  <c r="L47" i="1"/>
  <c r="T47" i="1" s="1"/>
  <c r="L46" i="1"/>
  <c r="T46" i="1" s="1"/>
  <c r="L45" i="1"/>
  <c r="T45" i="1" s="1"/>
  <c r="L44" i="1"/>
  <c r="T44" i="1" s="1"/>
  <c r="C60" i="1"/>
  <c r="C59" i="1"/>
  <c r="C58" i="1"/>
  <c r="C57" i="1"/>
  <c r="C56" i="1"/>
  <c r="C55" i="1"/>
  <c r="C54" i="1"/>
  <c r="C53" i="1"/>
  <c r="C52" i="1"/>
  <c r="C51" i="1"/>
  <c r="C50" i="1"/>
  <c r="C49" i="1"/>
  <c r="C48" i="1"/>
  <c r="C47" i="1"/>
  <c r="C46" i="1"/>
  <c r="C45" i="1"/>
  <c r="C44" i="1"/>
  <c r="L43" i="1"/>
  <c r="T43" i="1" s="1"/>
  <c r="L42" i="1"/>
  <c r="T42" i="1" s="1"/>
  <c r="L41" i="1"/>
  <c r="T41" i="1" s="1"/>
  <c r="R465" i="1"/>
  <c r="X465" i="1" s="1"/>
  <c r="R464" i="1"/>
  <c r="X464" i="1" s="1"/>
  <c r="R463" i="1"/>
  <c r="X463" i="1" s="1"/>
  <c r="R462" i="1"/>
  <c r="X462" i="1" s="1"/>
  <c r="O465" i="1"/>
  <c r="V465" i="1" s="1"/>
  <c r="O464" i="1"/>
  <c r="V464" i="1" s="1"/>
  <c r="O463" i="1"/>
  <c r="V463" i="1" s="1"/>
  <c r="O462" i="1"/>
  <c r="V462" i="1" s="1"/>
  <c r="L466" i="1"/>
  <c r="T466" i="1" s="1"/>
  <c r="L465" i="1"/>
  <c r="T465" i="1" s="1"/>
  <c r="L464" i="1"/>
  <c r="T464" i="1" s="1"/>
  <c r="L463" i="1"/>
  <c r="T463" i="1" s="1"/>
  <c r="L462" i="1"/>
  <c r="T462" i="1" s="1"/>
  <c r="C466" i="1"/>
  <c r="C465" i="1"/>
  <c r="C464" i="1"/>
  <c r="C463" i="1"/>
  <c r="C462" i="1"/>
  <c r="R458" i="1"/>
  <c r="X458" i="1" s="1"/>
  <c r="R459" i="1"/>
  <c r="X459" i="1" s="1"/>
  <c r="R460" i="1"/>
  <c r="X460" i="1" s="1"/>
  <c r="R461" i="1"/>
  <c r="X461" i="1" s="1"/>
  <c r="O461" i="1"/>
  <c r="V461" i="1" s="1"/>
  <c r="O460" i="1"/>
  <c r="V460" i="1" s="1"/>
  <c r="O459" i="1"/>
  <c r="V459" i="1" s="1"/>
  <c r="O458" i="1"/>
  <c r="V458" i="1" s="1"/>
  <c r="L461" i="1"/>
  <c r="T461" i="1" s="1"/>
  <c r="L458" i="1"/>
  <c r="T458" i="1" s="1"/>
  <c r="L459" i="1"/>
  <c r="T459" i="1" s="1"/>
  <c r="L460" i="1"/>
  <c r="T460" i="1" s="1"/>
  <c r="C461" i="1"/>
  <c r="C460" i="1"/>
  <c r="C459" i="1"/>
  <c r="C458" i="1"/>
  <c r="O457" i="1"/>
  <c r="V457" i="1" s="1"/>
  <c r="O456" i="1"/>
  <c r="V456" i="1" s="1"/>
  <c r="O455" i="1"/>
  <c r="V455" i="1" s="1"/>
  <c r="L455" i="1"/>
  <c r="T455" i="1" s="1"/>
  <c r="L456" i="1"/>
  <c r="T456" i="1" s="1"/>
  <c r="L457" i="1"/>
  <c r="T457" i="1" s="1"/>
  <c r="C457" i="1"/>
  <c r="C456" i="1"/>
  <c r="C455" i="1"/>
  <c r="O454" i="1"/>
  <c r="V454" i="1" s="1"/>
  <c r="O453" i="1"/>
  <c r="V453" i="1" s="1"/>
  <c r="O452" i="1"/>
  <c r="V452" i="1" s="1"/>
  <c r="O451" i="1"/>
  <c r="V451" i="1" s="1"/>
  <c r="O450" i="1"/>
  <c r="V450" i="1" s="1"/>
  <c r="O449" i="1"/>
  <c r="V449" i="1" s="1"/>
  <c r="O448" i="1"/>
  <c r="V448" i="1" s="1"/>
  <c r="O447" i="1"/>
  <c r="V447" i="1" s="1"/>
  <c r="O446" i="1"/>
  <c r="V446" i="1" s="1"/>
  <c r="O445" i="1"/>
  <c r="V445" i="1" s="1"/>
  <c r="O444" i="1"/>
  <c r="V444" i="1" s="1"/>
  <c r="O443" i="1"/>
  <c r="V443" i="1" s="1"/>
  <c r="L450" i="1"/>
  <c r="T450" i="1" s="1"/>
  <c r="L449" i="1"/>
  <c r="T449" i="1" s="1"/>
  <c r="L448" i="1"/>
  <c r="T448" i="1" s="1"/>
  <c r="L447" i="1"/>
  <c r="T447" i="1" s="1"/>
  <c r="L446" i="1"/>
  <c r="T446" i="1" s="1"/>
  <c r="L445" i="1"/>
  <c r="T445" i="1" s="1"/>
  <c r="L444" i="1"/>
  <c r="T444" i="1" s="1"/>
  <c r="L443" i="1"/>
  <c r="T443" i="1" s="1"/>
  <c r="C454" i="1"/>
  <c r="C453" i="1"/>
  <c r="C452" i="1"/>
  <c r="C451" i="1"/>
  <c r="C450" i="1"/>
  <c r="C449" i="1"/>
  <c r="C448" i="1"/>
  <c r="C447" i="1"/>
  <c r="C446" i="1"/>
  <c r="C445" i="1"/>
  <c r="C444" i="1"/>
  <c r="C443" i="1"/>
  <c r="R442" i="1"/>
  <c r="X442" i="1" s="1"/>
  <c r="R441" i="1"/>
  <c r="X441" i="1" s="1"/>
  <c r="R440" i="1"/>
  <c r="X440" i="1" s="1"/>
  <c r="R439" i="1"/>
  <c r="X439" i="1" s="1"/>
  <c r="R438" i="1"/>
  <c r="X438" i="1" s="1"/>
  <c r="R437" i="1"/>
  <c r="X437" i="1" s="1"/>
  <c r="R436" i="1"/>
  <c r="X436" i="1" s="1"/>
  <c r="R435" i="1"/>
  <c r="X435" i="1" s="1"/>
  <c r="R434" i="1"/>
  <c r="X434" i="1" s="1"/>
  <c r="O442" i="1"/>
  <c r="V442" i="1" s="1"/>
  <c r="O441" i="1"/>
  <c r="V441" i="1" s="1"/>
  <c r="O440" i="1"/>
  <c r="V440" i="1" s="1"/>
  <c r="O439" i="1"/>
  <c r="V439" i="1" s="1"/>
  <c r="O438" i="1"/>
  <c r="V438" i="1" s="1"/>
  <c r="O437" i="1"/>
  <c r="V437" i="1" s="1"/>
  <c r="O436" i="1"/>
  <c r="V436" i="1" s="1"/>
  <c r="O435" i="1"/>
  <c r="V435" i="1" s="1"/>
  <c r="O434" i="1"/>
  <c r="V434" i="1" s="1"/>
  <c r="L442" i="1"/>
  <c r="T442" i="1" s="1"/>
  <c r="L441" i="1"/>
  <c r="T441" i="1" s="1"/>
  <c r="L440" i="1"/>
  <c r="T440" i="1" s="1"/>
  <c r="L439" i="1"/>
  <c r="T439" i="1" s="1"/>
  <c r="L438" i="1"/>
  <c r="T438" i="1" s="1"/>
  <c r="L437" i="1"/>
  <c r="T437" i="1" s="1"/>
  <c r="L436" i="1"/>
  <c r="T436" i="1" s="1"/>
  <c r="L435" i="1"/>
  <c r="T435" i="1" s="1"/>
  <c r="L434" i="1"/>
  <c r="T434" i="1" s="1"/>
  <c r="C442" i="1"/>
  <c r="C441" i="1"/>
  <c r="C440" i="1"/>
  <c r="C439" i="1"/>
  <c r="C438" i="1"/>
  <c r="C437" i="1"/>
  <c r="C436" i="1"/>
  <c r="C435" i="1"/>
  <c r="C434" i="1"/>
  <c r="R433" i="1"/>
  <c r="X433" i="1" s="1"/>
  <c r="R432" i="1"/>
  <c r="X432" i="1" s="1"/>
  <c r="R431" i="1"/>
  <c r="X431" i="1" s="1"/>
  <c r="R430" i="1"/>
  <c r="X430" i="1" s="1"/>
  <c r="R429" i="1"/>
  <c r="X429" i="1" s="1"/>
  <c r="R428" i="1"/>
  <c r="X428" i="1" s="1"/>
  <c r="O433" i="1"/>
  <c r="V433" i="1" s="1"/>
  <c r="O432" i="1"/>
  <c r="V432" i="1" s="1"/>
  <c r="O431" i="1"/>
  <c r="V431" i="1" s="1"/>
  <c r="O430" i="1"/>
  <c r="V430" i="1" s="1"/>
  <c r="O429" i="1"/>
  <c r="V429" i="1" s="1"/>
  <c r="O428" i="1"/>
  <c r="V428" i="1" s="1"/>
  <c r="L433" i="1"/>
  <c r="T433" i="1" s="1"/>
  <c r="L432" i="1"/>
  <c r="T432" i="1" s="1"/>
  <c r="L431" i="1"/>
  <c r="T431" i="1" s="1"/>
  <c r="L430" i="1"/>
  <c r="T430" i="1" s="1"/>
  <c r="L429" i="1"/>
  <c r="T429" i="1" s="1"/>
  <c r="L428" i="1"/>
  <c r="T428" i="1" s="1"/>
  <c r="C433" i="1"/>
  <c r="C432" i="1"/>
  <c r="C431" i="1"/>
  <c r="C430" i="1"/>
  <c r="C429" i="1"/>
  <c r="C428" i="1"/>
  <c r="R419" i="1"/>
  <c r="X419" i="1" s="1"/>
  <c r="R420" i="1"/>
  <c r="X420" i="1" s="1"/>
  <c r="R421" i="1"/>
  <c r="X421" i="1" s="1"/>
  <c r="R422" i="1"/>
  <c r="X422" i="1" s="1"/>
  <c r="R423" i="1"/>
  <c r="X423" i="1" s="1"/>
  <c r="R424" i="1"/>
  <c r="X424" i="1" s="1"/>
  <c r="R425" i="1"/>
  <c r="X425" i="1" s="1"/>
  <c r="R426" i="1"/>
  <c r="X426" i="1" s="1"/>
  <c r="R427" i="1"/>
  <c r="X427" i="1" s="1"/>
  <c r="O427" i="1"/>
  <c r="V427" i="1" s="1"/>
  <c r="O426" i="1"/>
  <c r="V426" i="1" s="1"/>
  <c r="O425" i="1"/>
  <c r="V425" i="1" s="1"/>
  <c r="O424" i="1"/>
  <c r="V424" i="1" s="1"/>
  <c r="O423" i="1"/>
  <c r="V423" i="1" s="1"/>
  <c r="O422" i="1"/>
  <c r="V422" i="1" s="1"/>
  <c r="O421" i="1"/>
  <c r="V421" i="1" s="1"/>
  <c r="O420" i="1"/>
  <c r="V420" i="1" s="1"/>
  <c r="O419" i="1"/>
  <c r="V419" i="1" s="1"/>
  <c r="L427" i="1"/>
  <c r="T427" i="1" s="1"/>
  <c r="L426" i="1"/>
  <c r="T426" i="1" s="1"/>
  <c r="L425" i="1"/>
  <c r="T425" i="1" s="1"/>
  <c r="L424" i="1"/>
  <c r="T424" i="1" s="1"/>
  <c r="L423" i="1"/>
  <c r="T423" i="1" s="1"/>
  <c r="L422" i="1"/>
  <c r="T422" i="1" s="1"/>
  <c r="L421" i="1"/>
  <c r="T421" i="1" s="1"/>
  <c r="L420" i="1"/>
  <c r="T420" i="1" s="1"/>
  <c r="L419" i="1"/>
  <c r="T419" i="1" s="1"/>
  <c r="C427" i="1"/>
  <c r="C426" i="1"/>
  <c r="C425" i="1"/>
  <c r="C424" i="1"/>
  <c r="C423" i="1"/>
  <c r="C422" i="1"/>
  <c r="C421" i="1"/>
  <c r="C420" i="1"/>
  <c r="C419" i="1"/>
  <c r="R407" i="1"/>
  <c r="X407" i="1" s="1"/>
  <c r="R410" i="1"/>
  <c r="X410" i="1" s="1"/>
  <c r="O411" i="1"/>
  <c r="V411" i="1" s="1"/>
  <c r="O412" i="1"/>
  <c r="V412" i="1" s="1"/>
  <c r="O413" i="1"/>
  <c r="V413" i="1" s="1"/>
  <c r="O414" i="1"/>
  <c r="V414" i="1" s="1"/>
  <c r="O415" i="1"/>
  <c r="V415" i="1" s="1"/>
  <c r="O416" i="1"/>
  <c r="V416" i="1" s="1"/>
  <c r="O417" i="1"/>
  <c r="V417" i="1" s="1"/>
  <c r="O418" i="1"/>
  <c r="V418" i="1" s="1"/>
  <c r="L418" i="1"/>
  <c r="T418" i="1" s="1"/>
  <c r="L417" i="1"/>
  <c r="T417" i="1" s="1"/>
  <c r="L416" i="1"/>
  <c r="T416" i="1" s="1"/>
  <c r="L415" i="1"/>
  <c r="T415" i="1" s="1"/>
  <c r="L414" i="1"/>
  <c r="T414" i="1" s="1"/>
  <c r="L413" i="1"/>
  <c r="T413" i="1" s="1"/>
  <c r="L412" i="1"/>
  <c r="T412" i="1" s="1"/>
  <c r="L411" i="1"/>
  <c r="T411" i="1" s="1"/>
  <c r="C418" i="1"/>
  <c r="C417" i="1"/>
  <c r="C416" i="1"/>
  <c r="C415" i="1"/>
  <c r="C414" i="1"/>
  <c r="C413" i="1"/>
  <c r="C412" i="1"/>
  <c r="C411" i="1"/>
  <c r="O407" i="1"/>
  <c r="V407" i="1" s="1"/>
  <c r="O410" i="1"/>
  <c r="V410" i="1" s="1"/>
  <c r="L410" i="1"/>
  <c r="T410" i="1" s="1"/>
  <c r="L409" i="1"/>
  <c r="T409" i="1" s="1"/>
  <c r="L408" i="1"/>
  <c r="T408" i="1" s="1"/>
  <c r="L407" i="1"/>
  <c r="T407" i="1" s="1"/>
  <c r="L406" i="1"/>
  <c r="T406" i="1" s="1"/>
  <c r="C410" i="1"/>
  <c r="C409" i="1"/>
  <c r="C408" i="1"/>
  <c r="C407" i="1"/>
  <c r="C406" i="1"/>
  <c r="O405" i="1"/>
  <c r="V405" i="1" s="1"/>
  <c r="O404" i="1"/>
  <c r="V404" i="1" s="1"/>
  <c r="O403" i="1"/>
  <c r="V403" i="1" s="1"/>
  <c r="O402" i="1"/>
  <c r="V402" i="1" s="1"/>
  <c r="O401" i="1"/>
  <c r="V401" i="1" s="1"/>
  <c r="O400" i="1"/>
  <c r="V400" i="1" s="1"/>
  <c r="O399" i="1"/>
  <c r="V399" i="1" s="1"/>
  <c r="O398" i="1"/>
  <c r="V398" i="1" s="1"/>
  <c r="O397" i="1"/>
  <c r="V397" i="1" s="1"/>
  <c r="O396" i="1"/>
  <c r="V396" i="1" s="1"/>
  <c r="O395" i="1"/>
  <c r="V395" i="1" s="1"/>
  <c r="O394" i="1"/>
  <c r="V394" i="1" s="1"/>
  <c r="L405" i="1"/>
  <c r="T405" i="1" s="1"/>
  <c r="L404" i="1"/>
  <c r="T404" i="1" s="1"/>
  <c r="L403" i="1"/>
  <c r="T403" i="1" s="1"/>
  <c r="L402" i="1"/>
  <c r="T402" i="1" s="1"/>
  <c r="L401" i="1"/>
  <c r="T401" i="1" s="1"/>
  <c r="L400" i="1"/>
  <c r="T400" i="1" s="1"/>
  <c r="L399" i="1"/>
  <c r="T399" i="1" s="1"/>
  <c r="L398" i="1"/>
  <c r="T398" i="1" s="1"/>
  <c r="L397" i="1"/>
  <c r="T397" i="1" s="1"/>
  <c r="L396" i="1"/>
  <c r="T396" i="1" s="1"/>
  <c r="L395" i="1"/>
  <c r="T395" i="1" s="1"/>
  <c r="L394" i="1"/>
  <c r="T394" i="1" s="1"/>
  <c r="C405" i="1"/>
  <c r="C404" i="1"/>
  <c r="C403" i="1"/>
  <c r="C402" i="1"/>
  <c r="C401" i="1"/>
  <c r="C400" i="1"/>
  <c r="C399" i="1"/>
  <c r="C398" i="1"/>
  <c r="C397" i="1"/>
  <c r="C396" i="1"/>
  <c r="C395" i="1"/>
  <c r="C394" i="1"/>
  <c r="R393" i="1"/>
  <c r="X393" i="1" s="1"/>
  <c r="R392" i="1"/>
  <c r="X392" i="1" s="1"/>
  <c r="R391" i="1"/>
  <c r="X391" i="1" s="1"/>
  <c r="R390" i="1"/>
  <c r="X390" i="1" s="1"/>
  <c r="R389" i="1"/>
  <c r="X389" i="1" s="1"/>
  <c r="O393" i="1"/>
  <c r="V393" i="1" s="1"/>
  <c r="O392" i="1"/>
  <c r="V392" i="1" s="1"/>
  <c r="O391" i="1"/>
  <c r="V391" i="1" s="1"/>
  <c r="O390" i="1"/>
  <c r="V390" i="1" s="1"/>
  <c r="O389" i="1"/>
  <c r="V389" i="1" s="1"/>
  <c r="L393" i="1"/>
  <c r="T393" i="1" s="1"/>
  <c r="L392" i="1"/>
  <c r="T392" i="1" s="1"/>
  <c r="L391" i="1"/>
  <c r="T391" i="1" s="1"/>
  <c r="L390" i="1"/>
  <c r="T390" i="1" s="1"/>
  <c r="L389" i="1"/>
  <c r="T389" i="1" s="1"/>
  <c r="C393" i="1"/>
  <c r="C392" i="1"/>
  <c r="C391" i="1"/>
  <c r="C390" i="1"/>
  <c r="C389" i="1"/>
  <c r="R381" i="1"/>
  <c r="X381" i="1" s="1"/>
  <c r="R382" i="1"/>
  <c r="X382" i="1" s="1"/>
  <c r="R383" i="1"/>
  <c r="X383" i="1" s="1"/>
  <c r="R384" i="1"/>
  <c r="X384" i="1" s="1"/>
  <c r="R385" i="1"/>
  <c r="X385" i="1" s="1"/>
  <c r="R386" i="1"/>
  <c r="X386" i="1" s="1"/>
  <c r="R387" i="1"/>
  <c r="X387" i="1" s="1"/>
  <c r="R388" i="1"/>
  <c r="X388" i="1" s="1"/>
  <c r="R380" i="1"/>
  <c r="X380" i="1" s="1"/>
  <c r="R361" i="1"/>
  <c r="X361" i="1" s="1"/>
  <c r="O388" i="1"/>
  <c r="V388" i="1" s="1"/>
  <c r="O387" i="1"/>
  <c r="V387" i="1" s="1"/>
  <c r="O386" i="1"/>
  <c r="V386" i="1" s="1"/>
  <c r="O385" i="1"/>
  <c r="V385" i="1" s="1"/>
  <c r="O384" i="1"/>
  <c r="V384" i="1" s="1"/>
  <c r="O383" i="1"/>
  <c r="V383" i="1" s="1"/>
  <c r="O382" i="1"/>
  <c r="V382" i="1" s="1"/>
  <c r="O381" i="1"/>
  <c r="V381" i="1" s="1"/>
  <c r="O380" i="1"/>
  <c r="V380" i="1" s="1"/>
  <c r="L388" i="1"/>
  <c r="T388" i="1" s="1"/>
  <c r="L387" i="1"/>
  <c r="T387" i="1" s="1"/>
  <c r="L386" i="1"/>
  <c r="T386" i="1" s="1"/>
  <c r="L385" i="1"/>
  <c r="T385" i="1" s="1"/>
  <c r="L384" i="1"/>
  <c r="T384" i="1" s="1"/>
  <c r="L383" i="1"/>
  <c r="T383" i="1" s="1"/>
  <c r="L382" i="1"/>
  <c r="T382" i="1" s="1"/>
  <c r="L381" i="1"/>
  <c r="T381" i="1" s="1"/>
  <c r="L380" i="1"/>
  <c r="T380" i="1" s="1"/>
  <c r="C388" i="1"/>
  <c r="C387" i="1"/>
  <c r="C386" i="1"/>
  <c r="C385" i="1"/>
  <c r="C384" i="1"/>
  <c r="C383" i="1"/>
  <c r="C382" i="1"/>
  <c r="C381" i="1"/>
  <c r="C380" i="1"/>
  <c r="O375" i="1"/>
  <c r="V375" i="1" s="1"/>
  <c r="O376" i="1"/>
  <c r="V376" i="1" s="1"/>
  <c r="O377" i="1"/>
  <c r="V377" i="1" s="1"/>
  <c r="O378" i="1"/>
  <c r="V378" i="1" s="1"/>
  <c r="O379" i="1"/>
  <c r="V379" i="1" s="1"/>
  <c r="L375" i="1"/>
  <c r="T375" i="1" s="1"/>
  <c r="L376" i="1"/>
  <c r="T376" i="1" s="1"/>
  <c r="L377" i="1"/>
  <c r="T377" i="1" s="1"/>
  <c r="L378" i="1"/>
  <c r="T378" i="1" s="1"/>
  <c r="L379" i="1"/>
  <c r="T379" i="1" s="1"/>
  <c r="C379" i="1"/>
  <c r="C378" i="1"/>
  <c r="C377" i="1"/>
  <c r="C376" i="1"/>
  <c r="C375" i="1"/>
  <c r="O365" i="1"/>
  <c r="V365" i="1" s="1"/>
  <c r="O366" i="1"/>
  <c r="V366" i="1" s="1"/>
  <c r="O367" i="1"/>
  <c r="V367" i="1" s="1"/>
  <c r="O369" i="1"/>
  <c r="V369" i="1" s="1"/>
  <c r="O370" i="1"/>
  <c r="V370" i="1" s="1"/>
  <c r="O372" i="1"/>
  <c r="V372" i="1" s="1"/>
  <c r="L369" i="1"/>
  <c r="T369" i="1" s="1"/>
  <c r="L370" i="1"/>
  <c r="T370" i="1" s="1"/>
  <c r="L372" i="1"/>
  <c r="T372" i="1" s="1"/>
  <c r="L373" i="1"/>
  <c r="T373" i="1" s="1"/>
  <c r="L367" i="1"/>
  <c r="T367" i="1" s="1"/>
  <c r="L366" i="1"/>
  <c r="T366" i="1" s="1"/>
  <c r="L365" i="1"/>
  <c r="T365" i="1" s="1"/>
  <c r="C368" i="1"/>
  <c r="C374" i="1"/>
  <c r="C373" i="1"/>
  <c r="C372" i="1"/>
  <c r="C371" i="1"/>
  <c r="C370" i="1"/>
  <c r="C369" i="1"/>
  <c r="C367" i="1"/>
  <c r="C366" i="1"/>
  <c r="C365" i="1"/>
  <c r="L364" i="1"/>
  <c r="T364" i="1" s="1"/>
  <c r="L363" i="1"/>
  <c r="T363" i="1" s="1"/>
  <c r="C364" i="1"/>
  <c r="C363" i="1"/>
  <c r="R360" i="1"/>
  <c r="X360" i="1" s="1"/>
  <c r="R362" i="1"/>
  <c r="X362" i="1" s="1"/>
  <c r="O362" i="1"/>
  <c r="V362" i="1" s="1"/>
  <c r="O361" i="1"/>
  <c r="V361" i="1" s="1"/>
  <c r="O360" i="1"/>
  <c r="V360" i="1" s="1"/>
  <c r="L362" i="1"/>
  <c r="T362" i="1" s="1"/>
  <c r="L361" i="1"/>
  <c r="T361" i="1" s="1"/>
  <c r="L360" i="1"/>
  <c r="T360" i="1" s="1"/>
  <c r="C362" i="1"/>
  <c r="C361" i="1"/>
  <c r="C360" i="1"/>
  <c r="O359" i="1"/>
  <c r="V359" i="1" s="1"/>
  <c r="O358" i="1"/>
  <c r="V358" i="1" s="1"/>
  <c r="O357" i="1"/>
  <c r="V357" i="1" s="1"/>
  <c r="L359" i="1"/>
  <c r="T359" i="1" s="1"/>
  <c r="L358" i="1"/>
  <c r="T358" i="1" s="1"/>
  <c r="L357" i="1"/>
  <c r="T357" i="1" s="1"/>
  <c r="C359" i="1"/>
  <c r="C358" i="1"/>
  <c r="C357" i="1"/>
  <c r="O356" i="1"/>
  <c r="V356" i="1" s="1"/>
  <c r="O355" i="1"/>
  <c r="V355" i="1" s="1"/>
  <c r="O354" i="1"/>
  <c r="V354" i="1" s="1"/>
  <c r="O353" i="1"/>
  <c r="V353" i="1" s="1"/>
  <c r="L353" i="1"/>
  <c r="T353" i="1" s="1"/>
  <c r="L354" i="1"/>
  <c r="T354" i="1" s="1"/>
  <c r="L355" i="1"/>
  <c r="T355" i="1" s="1"/>
  <c r="L356" i="1"/>
  <c r="T356" i="1" s="1"/>
  <c r="C356" i="1"/>
  <c r="C355" i="1"/>
  <c r="C354" i="1"/>
  <c r="C353" i="1"/>
  <c r="O352" i="1"/>
  <c r="V352" i="1" s="1"/>
  <c r="O351" i="1"/>
  <c r="V351" i="1" s="1"/>
  <c r="O350" i="1"/>
  <c r="V350" i="1" s="1"/>
  <c r="C352" i="1"/>
  <c r="C351" i="1"/>
  <c r="C350" i="1"/>
  <c r="O344" i="1"/>
  <c r="V344" i="1" s="1"/>
  <c r="O345" i="1"/>
  <c r="V345" i="1" s="1"/>
  <c r="O346" i="1"/>
  <c r="V346" i="1" s="1"/>
  <c r="O347" i="1"/>
  <c r="V347" i="1" s="1"/>
  <c r="O348" i="1"/>
  <c r="V348" i="1" s="1"/>
  <c r="O349" i="1"/>
  <c r="V349" i="1" s="1"/>
  <c r="L344" i="1"/>
  <c r="T344" i="1" s="1"/>
  <c r="L345" i="1"/>
  <c r="T345" i="1" s="1"/>
  <c r="L346" i="1"/>
  <c r="T346" i="1" s="1"/>
  <c r="L347" i="1"/>
  <c r="T347" i="1" s="1"/>
  <c r="L348" i="1"/>
  <c r="T348" i="1" s="1"/>
  <c r="L349" i="1"/>
  <c r="T349" i="1" s="1"/>
  <c r="C349" i="1"/>
  <c r="C348" i="1"/>
  <c r="C347" i="1"/>
  <c r="C346" i="1"/>
  <c r="C345" i="1"/>
  <c r="C344" i="1"/>
  <c r="L341" i="1"/>
  <c r="T341" i="1" s="1"/>
  <c r="L342" i="1"/>
  <c r="T342" i="1" s="1"/>
  <c r="L343" i="1"/>
  <c r="T343" i="1" s="1"/>
  <c r="C343" i="1"/>
  <c r="C342" i="1"/>
  <c r="C341" i="1"/>
  <c r="O340" i="1"/>
  <c r="V340" i="1" s="1"/>
  <c r="O339" i="1"/>
  <c r="V339" i="1" s="1"/>
  <c r="C340" i="1"/>
  <c r="C339" i="1"/>
  <c r="R338" i="1"/>
  <c r="X338" i="1" s="1"/>
  <c r="R337" i="1"/>
  <c r="X337" i="1" s="1"/>
  <c r="R336" i="1"/>
  <c r="X336" i="1" s="1"/>
  <c r="O338" i="1"/>
  <c r="V338" i="1" s="1"/>
  <c r="O337" i="1"/>
  <c r="V337" i="1" s="1"/>
  <c r="O336" i="1"/>
  <c r="V336" i="1" s="1"/>
  <c r="L338" i="1"/>
  <c r="T338" i="1" s="1"/>
  <c r="L337" i="1"/>
  <c r="T337" i="1" s="1"/>
  <c r="L336" i="1"/>
  <c r="T336" i="1" s="1"/>
  <c r="C338" i="1"/>
  <c r="C337" i="1"/>
  <c r="C336" i="1"/>
  <c r="R319" i="1"/>
  <c r="X319" i="1" s="1"/>
  <c r="R320" i="1"/>
  <c r="X320" i="1" s="1"/>
  <c r="R321" i="1"/>
  <c r="X321" i="1" s="1"/>
  <c r="R322" i="1"/>
  <c r="X322" i="1" s="1"/>
  <c r="R323" i="1"/>
  <c r="X323" i="1" s="1"/>
  <c r="R324" i="1"/>
  <c r="X324" i="1" s="1"/>
  <c r="R325" i="1"/>
  <c r="X325" i="1" s="1"/>
  <c r="R326" i="1"/>
  <c r="X326" i="1" s="1"/>
  <c r="R327" i="1"/>
  <c r="X327" i="1" s="1"/>
  <c r="R328" i="1"/>
  <c r="X328" i="1" s="1"/>
  <c r="R329" i="1"/>
  <c r="X329" i="1" s="1"/>
  <c r="R330" i="1"/>
  <c r="X330" i="1" s="1"/>
  <c r="R331" i="1"/>
  <c r="X331" i="1" s="1"/>
  <c r="R332" i="1"/>
  <c r="X332" i="1" s="1"/>
  <c r="R333" i="1"/>
  <c r="X333" i="1" s="1"/>
  <c r="R334" i="1"/>
  <c r="X334" i="1" s="1"/>
  <c r="R335" i="1"/>
  <c r="X335" i="1" s="1"/>
  <c r="O335" i="1"/>
  <c r="V335" i="1" s="1"/>
  <c r="O334" i="1"/>
  <c r="V334" i="1" s="1"/>
  <c r="O333" i="1"/>
  <c r="V333" i="1" s="1"/>
  <c r="O332" i="1"/>
  <c r="V332" i="1" s="1"/>
  <c r="O331" i="1"/>
  <c r="V331" i="1" s="1"/>
  <c r="O330" i="1"/>
  <c r="V330" i="1" s="1"/>
  <c r="O329" i="1"/>
  <c r="V329" i="1" s="1"/>
  <c r="O328" i="1"/>
  <c r="V328" i="1" s="1"/>
  <c r="O327" i="1"/>
  <c r="V327" i="1" s="1"/>
  <c r="O326" i="1"/>
  <c r="V326" i="1" s="1"/>
  <c r="O325" i="1"/>
  <c r="V325" i="1" s="1"/>
  <c r="O324" i="1"/>
  <c r="V324" i="1" s="1"/>
  <c r="O323" i="1"/>
  <c r="V323" i="1" s="1"/>
  <c r="O322" i="1"/>
  <c r="V322" i="1" s="1"/>
  <c r="O321" i="1"/>
  <c r="V321" i="1" s="1"/>
  <c r="O320" i="1"/>
  <c r="V320" i="1" s="1"/>
  <c r="O319" i="1"/>
  <c r="V319" i="1" s="1"/>
  <c r="L335" i="1"/>
  <c r="T335" i="1" s="1"/>
  <c r="L334" i="1"/>
  <c r="T334" i="1" s="1"/>
  <c r="L333" i="1"/>
  <c r="T333" i="1" s="1"/>
  <c r="L332" i="1"/>
  <c r="T332" i="1" s="1"/>
  <c r="L331" i="1"/>
  <c r="T331" i="1" s="1"/>
  <c r="L330" i="1"/>
  <c r="T330" i="1" s="1"/>
  <c r="L329" i="1"/>
  <c r="T329" i="1" s="1"/>
  <c r="L328" i="1"/>
  <c r="T328" i="1" s="1"/>
  <c r="L327" i="1"/>
  <c r="T327" i="1" s="1"/>
  <c r="L326" i="1"/>
  <c r="T326" i="1" s="1"/>
  <c r="L325" i="1"/>
  <c r="T325" i="1" s="1"/>
  <c r="L324" i="1"/>
  <c r="T324" i="1" s="1"/>
  <c r="L323" i="1"/>
  <c r="T323" i="1" s="1"/>
  <c r="L322" i="1"/>
  <c r="T322" i="1" s="1"/>
  <c r="L321" i="1"/>
  <c r="T321" i="1" s="1"/>
  <c r="L320" i="1"/>
  <c r="T320" i="1" s="1"/>
  <c r="L319" i="1"/>
  <c r="T319" i="1" s="1"/>
  <c r="C335" i="1"/>
  <c r="C334" i="1"/>
  <c r="C333" i="1"/>
  <c r="C332" i="1"/>
  <c r="C331" i="1"/>
  <c r="C330" i="1"/>
  <c r="C329" i="1"/>
  <c r="C328" i="1"/>
  <c r="C327" i="1"/>
  <c r="C326" i="1"/>
  <c r="C325" i="1"/>
  <c r="C324" i="1"/>
  <c r="C323" i="1"/>
  <c r="C322" i="1"/>
  <c r="C321" i="1"/>
  <c r="C320" i="1"/>
  <c r="C319" i="1"/>
  <c r="O318" i="1"/>
  <c r="V318" i="1" s="1"/>
  <c r="O317" i="1"/>
  <c r="V317" i="1" s="1"/>
  <c r="O316" i="1"/>
  <c r="V316" i="1" s="1"/>
  <c r="O315" i="1"/>
  <c r="V315" i="1" s="1"/>
  <c r="L318" i="1"/>
  <c r="T318" i="1" s="1"/>
  <c r="L317" i="1"/>
  <c r="T317" i="1" s="1"/>
  <c r="L316" i="1"/>
  <c r="T316" i="1" s="1"/>
  <c r="L315" i="1"/>
  <c r="T315" i="1" s="1"/>
  <c r="C318" i="1"/>
  <c r="C317" i="1"/>
  <c r="C316" i="1"/>
  <c r="C315" i="1"/>
  <c r="R314" i="1"/>
  <c r="X314" i="1" s="1"/>
  <c r="R313" i="1"/>
  <c r="X313" i="1" s="1"/>
  <c r="R312" i="1"/>
  <c r="X312" i="1" s="1"/>
  <c r="O314" i="1"/>
  <c r="V314" i="1" s="1"/>
  <c r="O313" i="1"/>
  <c r="V313" i="1" s="1"/>
  <c r="O312" i="1"/>
  <c r="V312" i="1" s="1"/>
  <c r="L314" i="1"/>
  <c r="T314" i="1" s="1"/>
  <c r="L313" i="1"/>
  <c r="T313" i="1" s="1"/>
  <c r="L312" i="1"/>
  <c r="T312" i="1" s="1"/>
  <c r="C314" i="1"/>
  <c r="C313" i="1"/>
  <c r="C312" i="1"/>
  <c r="R311" i="1"/>
  <c r="X311" i="1" s="1"/>
  <c r="R310" i="1"/>
  <c r="X310" i="1" s="1"/>
  <c r="R309" i="1"/>
  <c r="X309" i="1" s="1"/>
  <c r="R308" i="1"/>
  <c r="X308" i="1" s="1"/>
  <c r="O311" i="1"/>
  <c r="V311" i="1" s="1"/>
  <c r="O310" i="1"/>
  <c r="V310" i="1" s="1"/>
  <c r="O309" i="1"/>
  <c r="V309" i="1" s="1"/>
  <c r="O308" i="1"/>
  <c r="V308" i="1" s="1"/>
  <c r="L311" i="1"/>
  <c r="T311" i="1" s="1"/>
  <c r="L310" i="1"/>
  <c r="T310" i="1" s="1"/>
  <c r="L309" i="1"/>
  <c r="T309" i="1" s="1"/>
  <c r="L308" i="1"/>
  <c r="T308" i="1" s="1"/>
  <c r="C311" i="1"/>
  <c r="C310" i="1"/>
  <c r="C309" i="1"/>
  <c r="C308" i="1"/>
  <c r="R307" i="1"/>
  <c r="X307" i="1" s="1"/>
  <c r="R306" i="1"/>
  <c r="X306" i="1" s="1"/>
  <c r="R305" i="1"/>
  <c r="X305" i="1" s="1"/>
  <c r="R304" i="1"/>
  <c r="X304" i="1" s="1"/>
  <c r="O307" i="1"/>
  <c r="V307" i="1" s="1"/>
  <c r="O306" i="1"/>
  <c r="V306" i="1" s="1"/>
  <c r="O305" i="1"/>
  <c r="V305" i="1" s="1"/>
  <c r="O304" i="1"/>
  <c r="V304" i="1" s="1"/>
  <c r="L307" i="1"/>
  <c r="T307" i="1" s="1"/>
  <c r="L306" i="1"/>
  <c r="T306" i="1" s="1"/>
  <c r="L305" i="1"/>
  <c r="T305" i="1" s="1"/>
  <c r="L304" i="1"/>
  <c r="T304" i="1" s="1"/>
  <c r="C307" i="1"/>
  <c r="C306" i="1"/>
  <c r="C305" i="1"/>
  <c r="C304" i="1"/>
  <c r="R303" i="1"/>
  <c r="X303" i="1" s="1"/>
  <c r="R302" i="1"/>
  <c r="X302" i="1" s="1"/>
  <c r="R301" i="1"/>
  <c r="X301" i="1" s="1"/>
  <c r="O303" i="1"/>
  <c r="V303" i="1" s="1"/>
  <c r="O302" i="1"/>
  <c r="V302" i="1" s="1"/>
  <c r="O301" i="1"/>
  <c r="V301" i="1" s="1"/>
  <c r="L303" i="1"/>
  <c r="T303" i="1" s="1"/>
  <c r="L302" i="1"/>
  <c r="T302" i="1" s="1"/>
  <c r="L301" i="1"/>
  <c r="T301" i="1" s="1"/>
  <c r="C303" i="1"/>
  <c r="C302" i="1"/>
  <c r="C301" i="1"/>
  <c r="R297" i="1"/>
  <c r="X297" i="1" s="1"/>
  <c r="R298" i="1"/>
  <c r="X298" i="1" s="1"/>
  <c r="R299" i="1"/>
  <c r="X299" i="1" s="1"/>
  <c r="R300" i="1"/>
  <c r="X300" i="1" s="1"/>
  <c r="O300" i="1"/>
  <c r="V300" i="1" s="1"/>
  <c r="O299" i="1"/>
  <c r="V299" i="1" s="1"/>
  <c r="O298" i="1"/>
  <c r="V298" i="1" s="1"/>
  <c r="O297" i="1"/>
  <c r="V297" i="1" s="1"/>
  <c r="L300" i="1"/>
  <c r="T300" i="1" s="1"/>
  <c r="L299" i="1"/>
  <c r="T299" i="1" s="1"/>
  <c r="L298" i="1"/>
  <c r="T298" i="1" s="1"/>
  <c r="L297" i="1"/>
  <c r="T297" i="1" s="1"/>
  <c r="C300" i="1"/>
  <c r="C299" i="1"/>
  <c r="C298" i="1"/>
  <c r="C297" i="1"/>
  <c r="R290" i="1"/>
  <c r="X290" i="1" s="1"/>
  <c r="R294" i="1"/>
  <c r="X294" i="1" s="1"/>
  <c r="O296" i="1"/>
  <c r="V296" i="1" s="1"/>
  <c r="O295" i="1"/>
  <c r="V295" i="1" s="1"/>
  <c r="O294" i="1"/>
  <c r="V294" i="1" s="1"/>
  <c r="O293" i="1"/>
  <c r="V293" i="1" s="1"/>
  <c r="O292" i="1"/>
  <c r="V292" i="1" s="1"/>
  <c r="O291" i="1"/>
  <c r="V291" i="1" s="1"/>
  <c r="O290" i="1"/>
  <c r="V290" i="1" s="1"/>
  <c r="O289" i="1"/>
  <c r="V289" i="1" s="1"/>
  <c r="L296" i="1"/>
  <c r="T296" i="1" s="1"/>
  <c r="L295" i="1"/>
  <c r="T295" i="1" s="1"/>
  <c r="L294" i="1"/>
  <c r="T294" i="1" s="1"/>
  <c r="L293" i="1"/>
  <c r="T293" i="1" s="1"/>
  <c r="L292" i="1"/>
  <c r="T292" i="1" s="1"/>
  <c r="L291" i="1"/>
  <c r="T291" i="1" s="1"/>
  <c r="L290" i="1"/>
  <c r="T290" i="1" s="1"/>
  <c r="L289" i="1"/>
  <c r="T289" i="1" s="1"/>
  <c r="C296" i="1"/>
  <c r="C295" i="1"/>
  <c r="C294" i="1"/>
  <c r="C293" i="1"/>
  <c r="C292" i="1"/>
  <c r="C291" i="1"/>
  <c r="C290" i="1"/>
  <c r="C289" i="1"/>
  <c r="O288" i="1"/>
  <c r="V288" i="1" s="1"/>
  <c r="O287" i="1"/>
  <c r="V287" i="1" s="1"/>
  <c r="O286" i="1"/>
  <c r="V286" i="1" s="1"/>
  <c r="O285" i="1"/>
  <c r="V285" i="1" s="1"/>
  <c r="O284" i="1"/>
  <c r="V284" i="1" s="1"/>
  <c r="O283" i="1"/>
  <c r="V283" i="1" s="1"/>
  <c r="O282" i="1"/>
  <c r="V282" i="1" s="1"/>
  <c r="O281" i="1"/>
  <c r="V281" i="1" s="1"/>
  <c r="L281" i="1"/>
  <c r="T281" i="1" s="1"/>
  <c r="L282" i="1"/>
  <c r="T282" i="1" s="1"/>
  <c r="L283" i="1"/>
  <c r="T283" i="1" s="1"/>
  <c r="L284" i="1"/>
  <c r="T284" i="1" s="1"/>
  <c r="L285" i="1"/>
  <c r="T285" i="1" s="1"/>
  <c r="L286" i="1"/>
  <c r="T286" i="1" s="1"/>
  <c r="L287" i="1"/>
  <c r="T287" i="1" s="1"/>
  <c r="L288" i="1"/>
  <c r="T288" i="1" s="1"/>
  <c r="C288" i="1"/>
  <c r="C287" i="1"/>
  <c r="C286" i="1"/>
  <c r="C285" i="1"/>
  <c r="C284" i="1"/>
  <c r="C283" i="1"/>
  <c r="C282" i="1"/>
  <c r="C281" i="1"/>
  <c r="O280" i="1"/>
  <c r="V280" i="1" s="1"/>
  <c r="O279" i="1"/>
  <c r="V279" i="1" s="1"/>
  <c r="O278" i="1"/>
  <c r="V278" i="1" s="1"/>
  <c r="O277" i="1"/>
  <c r="V277" i="1" s="1"/>
  <c r="C280" i="1"/>
  <c r="C279" i="1"/>
  <c r="C278" i="1"/>
  <c r="C277" i="1"/>
  <c r="O271" i="1"/>
  <c r="V271" i="1" s="1"/>
  <c r="O272" i="1"/>
  <c r="V272" i="1" s="1"/>
  <c r="O273" i="1"/>
  <c r="V273" i="1" s="1"/>
  <c r="O274" i="1"/>
  <c r="V274" i="1" s="1"/>
  <c r="O275" i="1"/>
  <c r="V275" i="1" s="1"/>
  <c r="O276" i="1"/>
  <c r="V276" i="1" s="1"/>
  <c r="L273" i="1"/>
  <c r="T273" i="1" s="1"/>
  <c r="L272" i="1"/>
  <c r="T272" i="1" s="1"/>
  <c r="L271" i="1"/>
  <c r="T271" i="1" s="1"/>
  <c r="C276" i="1"/>
  <c r="C275" i="1"/>
  <c r="C274" i="1"/>
  <c r="C273" i="1"/>
  <c r="C272" i="1"/>
  <c r="C271" i="1"/>
  <c r="L270" i="1"/>
  <c r="T270" i="1" s="1"/>
  <c r="L269" i="1"/>
  <c r="T269" i="1" s="1"/>
  <c r="L268" i="1"/>
  <c r="T268" i="1" s="1"/>
  <c r="L267" i="1"/>
  <c r="T267" i="1" s="1"/>
  <c r="C270" i="1"/>
  <c r="C269" i="1"/>
  <c r="C268" i="1"/>
  <c r="C267" i="1"/>
  <c r="L266" i="1"/>
  <c r="T266" i="1" s="1"/>
  <c r="L265" i="1"/>
  <c r="T265" i="1" s="1"/>
  <c r="L264" i="1"/>
  <c r="T264" i="1" s="1"/>
  <c r="C266" i="1"/>
  <c r="C265" i="1"/>
  <c r="C264" i="1"/>
  <c r="R260" i="1"/>
  <c r="X260" i="1" s="1"/>
  <c r="R261" i="1"/>
  <c r="X261" i="1" s="1"/>
  <c r="R262" i="1"/>
  <c r="X262" i="1" s="1"/>
  <c r="R263" i="1"/>
  <c r="X263" i="1" s="1"/>
  <c r="O263" i="1"/>
  <c r="V263" i="1" s="1"/>
  <c r="O262" i="1"/>
  <c r="V262" i="1" s="1"/>
  <c r="O261" i="1"/>
  <c r="V261" i="1" s="1"/>
  <c r="O260" i="1"/>
  <c r="V260" i="1" s="1"/>
  <c r="L263" i="1"/>
  <c r="T263" i="1" s="1"/>
  <c r="L262" i="1"/>
  <c r="T262" i="1" s="1"/>
  <c r="L261" i="1"/>
  <c r="T261" i="1" s="1"/>
  <c r="L260" i="1"/>
  <c r="T260" i="1" s="1"/>
  <c r="C263" i="1"/>
  <c r="C262" i="1"/>
  <c r="C261" i="1"/>
  <c r="C260" i="1"/>
  <c r="O259" i="1"/>
  <c r="V259" i="1" s="1"/>
  <c r="O258" i="1"/>
  <c r="V258" i="1" s="1"/>
  <c r="O257" i="1"/>
  <c r="V257" i="1" s="1"/>
  <c r="L259" i="1"/>
  <c r="T259" i="1" s="1"/>
  <c r="L258" i="1"/>
  <c r="T258" i="1" s="1"/>
  <c r="L257" i="1"/>
  <c r="T257" i="1" s="1"/>
  <c r="C258" i="1"/>
  <c r="C259" i="1"/>
  <c r="C246" i="1"/>
  <c r="R256" i="1"/>
  <c r="X256" i="1" s="1"/>
  <c r="O256" i="1"/>
  <c r="V256" i="1" s="1"/>
  <c r="L256" i="1"/>
  <c r="T256" i="1" s="1"/>
  <c r="C256" i="1"/>
  <c r="R255" i="1"/>
  <c r="X255" i="1" s="1"/>
  <c r="O255" i="1"/>
  <c r="V255" i="1" s="1"/>
  <c r="L255" i="1"/>
  <c r="T255" i="1" s="1"/>
  <c r="C255" i="1"/>
  <c r="R254" i="1"/>
  <c r="X254" i="1" s="1"/>
  <c r="O254" i="1"/>
  <c r="V254" i="1" s="1"/>
  <c r="L254" i="1"/>
  <c r="T254" i="1" s="1"/>
  <c r="C254" i="1"/>
  <c r="R253" i="1"/>
  <c r="X253" i="1" s="1"/>
  <c r="O253" i="1"/>
  <c r="V253" i="1" s="1"/>
  <c r="L253" i="1"/>
  <c r="T253" i="1" s="1"/>
  <c r="C253" i="1"/>
  <c r="R252" i="1"/>
  <c r="X252" i="1" s="1"/>
  <c r="O252" i="1"/>
  <c r="V252" i="1" s="1"/>
  <c r="L252" i="1"/>
  <c r="T252" i="1" s="1"/>
  <c r="C252" i="1"/>
  <c r="R251" i="1"/>
  <c r="X251" i="1" s="1"/>
  <c r="O251" i="1"/>
  <c r="V251" i="1" s="1"/>
  <c r="L251" i="1"/>
  <c r="T251" i="1" s="1"/>
  <c r="C251" i="1"/>
  <c r="R250" i="1"/>
  <c r="X250" i="1" s="1"/>
  <c r="O250" i="1"/>
  <c r="V250" i="1" s="1"/>
  <c r="L250" i="1"/>
  <c r="T250" i="1" s="1"/>
  <c r="C250" i="1"/>
  <c r="R249" i="1"/>
  <c r="X249" i="1" s="1"/>
  <c r="O249" i="1"/>
  <c r="V249" i="1" s="1"/>
  <c r="L249" i="1"/>
  <c r="T249" i="1" s="1"/>
  <c r="C249" i="1"/>
  <c r="R248" i="1"/>
  <c r="X248" i="1" s="1"/>
  <c r="O248" i="1"/>
  <c r="V248" i="1" s="1"/>
  <c r="L248" i="1"/>
  <c r="T248" i="1" s="1"/>
  <c r="C248" i="1"/>
  <c r="R247" i="1"/>
  <c r="X247" i="1" s="1"/>
  <c r="O247" i="1"/>
  <c r="V247" i="1" s="1"/>
  <c r="L247" i="1"/>
  <c r="T247" i="1" s="1"/>
  <c r="C247" i="1"/>
  <c r="R246" i="1"/>
  <c r="X246" i="1" s="1"/>
  <c r="O246" i="1"/>
  <c r="V246" i="1" s="1"/>
  <c r="L246" i="1"/>
  <c r="T246" i="1" s="1"/>
  <c r="R245" i="1"/>
  <c r="X245" i="1" s="1"/>
  <c r="O245" i="1"/>
  <c r="V245" i="1" s="1"/>
  <c r="L245" i="1"/>
  <c r="T245" i="1" s="1"/>
  <c r="C245" i="1"/>
  <c r="R244" i="1"/>
  <c r="X244" i="1" s="1"/>
  <c r="O244" i="1"/>
  <c r="V244" i="1" s="1"/>
  <c r="L244" i="1"/>
  <c r="T244" i="1" s="1"/>
  <c r="C244" i="1"/>
  <c r="R243" i="1"/>
  <c r="X243" i="1" s="1"/>
  <c r="O243" i="1"/>
  <c r="V243" i="1" s="1"/>
  <c r="L243" i="1"/>
  <c r="T243" i="1" s="1"/>
  <c r="C243" i="1"/>
  <c r="R242" i="1"/>
  <c r="X242" i="1" s="1"/>
  <c r="O242" i="1"/>
  <c r="V242" i="1" s="1"/>
  <c r="L242" i="1"/>
  <c r="T242" i="1" s="1"/>
  <c r="C242" i="1"/>
  <c r="R241" i="1"/>
  <c r="X241" i="1" s="1"/>
  <c r="O241" i="1"/>
  <c r="V241" i="1" s="1"/>
  <c r="L241" i="1"/>
  <c r="T241" i="1" s="1"/>
  <c r="C241" i="1"/>
  <c r="R240" i="1"/>
  <c r="X240" i="1" s="1"/>
  <c r="O240" i="1"/>
  <c r="V240" i="1" s="1"/>
  <c r="L240" i="1"/>
  <c r="T240" i="1" s="1"/>
  <c r="C240" i="1"/>
  <c r="R239" i="1"/>
  <c r="X239" i="1" s="1"/>
  <c r="O239" i="1"/>
  <c r="V239" i="1" s="1"/>
  <c r="L239" i="1"/>
  <c r="T239" i="1" s="1"/>
  <c r="C239" i="1"/>
  <c r="R238" i="1"/>
  <c r="X238" i="1" s="1"/>
  <c r="O238" i="1"/>
  <c r="V238" i="1" s="1"/>
  <c r="L238" i="1"/>
  <c r="T238" i="1" s="1"/>
  <c r="C238" i="1"/>
  <c r="R237" i="1"/>
  <c r="X237" i="1" s="1"/>
  <c r="O237" i="1"/>
  <c r="V237" i="1" s="1"/>
  <c r="L237" i="1"/>
  <c r="T237" i="1" s="1"/>
  <c r="C237" i="1"/>
  <c r="R236" i="1"/>
  <c r="X236" i="1" s="1"/>
  <c r="O236" i="1"/>
  <c r="V236" i="1" s="1"/>
  <c r="L236" i="1"/>
  <c r="T236" i="1" s="1"/>
  <c r="C236" i="1"/>
  <c r="R235" i="1"/>
  <c r="X235" i="1" s="1"/>
  <c r="O235" i="1"/>
  <c r="V235" i="1" s="1"/>
  <c r="L235" i="1"/>
  <c r="T235" i="1" s="1"/>
  <c r="C235" i="1"/>
  <c r="R234" i="1"/>
  <c r="X234" i="1" s="1"/>
  <c r="O234" i="1"/>
  <c r="V234" i="1" s="1"/>
  <c r="L234" i="1"/>
  <c r="T234" i="1" s="1"/>
  <c r="C234" i="1"/>
  <c r="R233" i="1"/>
  <c r="X233" i="1" s="1"/>
  <c r="O233" i="1"/>
  <c r="V233" i="1" s="1"/>
  <c r="L233" i="1"/>
  <c r="T233" i="1" s="1"/>
  <c r="C233" i="1"/>
  <c r="R232" i="1"/>
  <c r="X232" i="1" s="1"/>
  <c r="O232" i="1"/>
  <c r="V232" i="1" s="1"/>
  <c r="L232" i="1"/>
  <c r="T232" i="1" s="1"/>
  <c r="C232" i="1"/>
  <c r="R231" i="1"/>
  <c r="X231" i="1" s="1"/>
  <c r="O231" i="1"/>
  <c r="V231" i="1" s="1"/>
  <c r="L231" i="1"/>
  <c r="T231" i="1" s="1"/>
  <c r="C231" i="1"/>
  <c r="R230" i="1"/>
  <c r="X230" i="1" s="1"/>
  <c r="O230" i="1"/>
  <c r="V230" i="1" s="1"/>
  <c r="L230" i="1"/>
  <c r="T230" i="1" s="1"/>
  <c r="C230" i="1"/>
  <c r="R229" i="1"/>
  <c r="X229" i="1" s="1"/>
  <c r="O229" i="1"/>
  <c r="V229" i="1" s="1"/>
  <c r="L229" i="1"/>
  <c r="T229" i="1" s="1"/>
  <c r="C229" i="1"/>
  <c r="R228" i="1"/>
  <c r="X228" i="1" s="1"/>
  <c r="O228" i="1"/>
  <c r="V228" i="1" s="1"/>
  <c r="L228" i="1"/>
  <c r="T228" i="1" s="1"/>
  <c r="C228" i="1"/>
  <c r="R227" i="1"/>
  <c r="X227" i="1" s="1"/>
  <c r="O227" i="1"/>
  <c r="V227" i="1" s="1"/>
  <c r="L227" i="1"/>
  <c r="T227" i="1" s="1"/>
  <c r="C227" i="1"/>
  <c r="R226" i="1"/>
  <c r="X226" i="1" s="1"/>
  <c r="O226" i="1"/>
  <c r="V226" i="1" s="1"/>
  <c r="L226" i="1"/>
  <c r="T226" i="1" s="1"/>
  <c r="C226" i="1"/>
  <c r="R225" i="1"/>
  <c r="X225" i="1" s="1"/>
  <c r="O225" i="1"/>
  <c r="V225" i="1" s="1"/>
  <c r="L225" i="1"/>
  <c r="T225" i="1" s="1"/>
  <c r="C225" i="1"/>
  <c r="R224" i="1"/>
  <c r="X224" i="1" s="1"/>
  <c r="O224" i="1"/>
  <c r="V224" i="1" s="1"/>
  <c r="L224" i="1"/>
  <c r="T224" i="1" s="1"/>
  <c r="C224" i="1"/>
  <c r="R223" i="1"/>
  <c r="X223" i="1" s="1"/>
  <c r="O223" i="1"/>
  <c r="V223" i="1" s="1"/>
  <c r="L223" i="1"/>
  <c r="T223" i="1" s="1"/>
  <c r="C223" i="1"/>
  <c r="R222" i="1"/>
  <c r="X222" i="1" s="1"/>
  <c r="O222" i="1"/>
  <c r="V222" i="1" s="1"/>
  <c r="L222" i="1"/>
  <c r="T222" i="1" s="1"/>
  <c r="C222" i="1"/>
  <c r="R221" i="1"/>
  <c r="X221" i="1" s="1"/>
  <c r="O221" i="1"/>
  <c r="V221" i="1" s="1"/>
  <c r="L221" i="1"/>
  <c r="T221" i="1" s="1"/>
  <c r="C221" i="1"/>
  <c r="R220" i="1"/>
  <c r="X220" i="1" s="1"/>
  <c r="O220" i="1"/>
  <c r="V220" i="1" s="1"/>
  <c r="L220" i="1"/>
  <c r="T220" i="1" s="1"/>
  <c r="C220" i="1"/>
  <c r="C219" i="1"/>
  <c r="C218" i="1"/>
  <c r="C217" i="1"/>
  <c r="C215" i="1"/>
  <c r="C214" i="1"/>
  <c r="C213" i="1"/>
  <c r="C212" i="1"/>
  <c r="C211" i="1"/>
  <c r="C210" i="1"/>
  <c r="C209" i="1"/>
  <c r="C208" i="1"/>
  <c r="C207" i="1"/>
  <c r="C206" i="1"/>
  <c r="T205" i="1"/>
  <c r="C205" i="1"/>
  <c r="L204" i="1"/>
  <c r="T204" i="1" s="1"/>
  <c r="C204" i="1"/>
  <c r="L203" i="1"/>
  <c r="T203" i="1" s="1"/>
  <c r="C203" i="1"/>
  <c r="L202" i="1"/>
  <c r="T202" i="1" s="1"/>
  <c r="C202" i="1"/>
  <c r="L201" i="1"/>
  <c r="T201" i="1" s="1"/>
  <c r="C201" i="1"/>
  <c r="L200" i="1"/>
  <c r="T200" i="1" s="1"/>
  <c r="C200" i="1"/>
  <c r="L199" i="1"/>
  <c r="T199" i="1" s="1"/>
  <c r="C199" i="1"/>
  <c r="L198" i="1"/>
  <c r="T198" i="1" s="1"/>
  <c r="C198" i="1"/>
  <c r="L197" i="1"/>
  <c r="T197" i="1" s="1"/>
  <c r="C197" i="1"/>
  <c r="L196" i="1"/>
  <c r="T196" i="1" s="1"/>
  <c r="C196" i="1"/>
  <c r="L195" i="1"/>
  <c r="T195" i="1" s="1"/>
  <c r="C195" i="1"/>
  <c r="L194" i="1"/>
  <c r="T194" i="1" s="1"/>
  <c r="C194" i="1"/>
  <c r="L193" i="1"/>
  <c r="T193" i="1" s="1"/>
  <c r="C193" i="1"/>
  <c r="L192" i="1"/>
  <c r="T192" i="1" s="1"/>
  <c r="C192" i="1"/>
  <c r="L191" i="1"/>
  <c r="T191" i="1" s="1"/>
  <c r="C191" i="1"/>
  <c r="L190" i="1"/>
  <c r="T190" i="1" s="1"/>
  <c r="C190" i="1"/>
  <c r="L189" i="1"/>
  <c r="T189" i="1" s="1"/>
  <c r="C189" i="1"/>
  <c r="L188" i="1"/>
  <c r="T188" i="1" s="1"/>
  <c r="C188" i="1"/>
  <c r="L187" i="1"/>
  <c r="T187" i="1" s="1"/>
  <c r="C187" i="1"/>
  <c r="L186" i="1"/>
  <c r="T186" i="1" s="1"/>
  <c r="C186" i="1"/>
  <c r="L185" i="1"/>
  <c r="T185" i="1" s="1"/>
  <c r="C185" i="1"/>
  <c r="L184" i="1"/>
  <c r="T184" i="1" s="1"/>
  <c r="C184" i="1"/>
  <c r="L183" i="1"/>
  <c r="T183" i="1" s="1"/>
  <c r="C183" i="1"/>
  <c r="L182" i="1"/>
  <c r="T182" i="1" s="1"/>
  <c r="C182" i="1"/>
  <c r="L181" i="1"/>
  <c r="T181" i="1" s="1"/>
  <c r="C181" i="1"/>
  <c r="L180" i="1"/>
  <c r="T180" i="1" s="1"/>
  <c r="C180" i="1"/>
  <c r="L179" i="1"/>
  <c r="T179" i="1" s="1"/>
  <c r="C179" i="1"/>
  <c r="L178" i="1"/>
  <c r="T178" i="1" s="1"/>
  <c r="C178" i="1"/>
  <c r="L177" i="1"/>
  <c r="T177" i="1" s="1"/>
  <c r="C177" i="1"/>
  <c r="L176" i="1"/>
  <c r="T176" i="1" s="1"/>
  <c r="C176" i="1"/>
  <c r="L175" i="1"/>
  <c r="T175" i="1" s="1"/>
  <c r="C175" i="1"/>
  <c r="L174" i="1"/>
  <c r="T174" i="1" s="1"/>
  <c r="C174" i="1"/>
  <c r="L173" i="1"/>
  <c r="T173" i="1" s="1"/>
  <c r="C173" i="1"/>
  <c r="L172" i="1"/>
  <c r="T172" i="1" s="1"/>
  <c r="C172" i="1"/>
  <c r="L171" i="1"/>
  <c r="T171" i="1" s="1"/>
  <c r="C171" i="1"/>
  <c r="L170" i="1"/>
  <c r="T170" i="1" s="1"/>
  <c r="C170" i="1"/>
  <c r="L169" i="1"/>
  <c r="T169" i="1" s="1"/>
  <c r="C169" i="1"/>
  <c r="L168" i="1"/>
  <c r="T168" i="1" s="1"/>
  <c r="C168" i="1"/>
  <c r="L167" i="1"/>
  <c r="T167" i="1" s="1"/>
  <c r="C167" i="1"/>
  <c r="L166" i="1"/>
  <c r="T166" i="1" s="1"/>
  <c r="C166" i="1"/>
  <c r="L165" i="1"/>
  <c r="T165" i="1" s="1"/>
  <c r="C165" i="1"/>
  <c r="L164" i="1"/>
  <c r="T164" i="1" s="1"/>
  <c r="C164" i="1"/>
  <c r="L162" i="1"/>
  <c r="T162" i="1" s="1"/>
  <c r="C162" i="1"/>
  <c r="L161" i="1"/>
  <c r="T161" i="1" s="1"/>
  <c r="C161" i="1"/>
  <c r="L160" i="1"/>
  <c r="T160" i="1" s="1"/>
  <c r="C160" i="1"/>
  <c r="L159" i="1"/>
  <c r="T159" i="1" s="1"/>
  <c r="C159" i="1"/>
  <c r="L158" i="1"/>
  <c r="T158" i="1" s="1"/>
  <c r="C158" i="1"/>
  <c r="L157" i="1"/>
  <c r="T157" i="1" s="1"/>
  <c r="C157" i="1"/>
  <c r="L156" i="1"/>
  <c r="T156" i="1" s="1"/>
  <c r="C156" i="1"/>
  <c r="L155" i="1"/>
  <c r="T155" i="1" s="1"/>
  <c r="C155" i="1"/>
  <c r="L154" i="1"/>
  <c r="T154" i="1" s="1"/>
  <c r="C154" i="1"/>
  <c r="L153" i="1"/>
  <c r="T153" i="1" s="1"/>
  <c r="C153" i="1"/>
  <c r="L152" i="1"/>
  <c r="T152" i="1" s="1"/>
  <c r="C152" i="1"/>
  <c r="L151" i="1"/>
  <c r="T151" i="1" s="1"/>
  <c r="C151" i="1"/>
  <c r="L150" i="1"/>
  <c r="T150" i="1" s="1"/>
  <c r="C150" i="1"/>
  <c r="L149" i="1"/>
  <c r="T149" i="1" s="1"/>
  <c r="C149" i="1"/>
  <c r="L148" i="1"/>
  <c r="T148" i="1" s="1"/>
  <c r="C148" i="1"/>
  <c r="L147" i="1"/>
  <c r="T147" i="1" s="1"/>
  <c r="C147" i="1"/>
  <c r="L146" i="1"/>
  <c r="T146" i="1" s="1"/>
  <c r="C146" i="1"/>
  <c r="L145" i="1"/>
  <c r="T145" i="1" s="1"/>
  <c r="C145" i="1"/>
  <c r="L144" i="1"/>
  <c r="T144" i="1" s="1"/>
  <c r="C144" i="1"/>
  <c r="L143" i="1"/>
  <c r="T143" i="1" s="1"/>
  <c r="C143" i="1"/>
  <c r="L142" i="1"/>
  <c r="T142" i="1" s="1"/>
  <c r="C142" i="1"/>
  <c r="L141" i="1"/>
  <c r="T141" i="1" s="1"/>
  <c r="C141" i="1"/>
  <c r="L140" i="1"/>
  <c r="T140" i="1" s="1"/>
  <c r="C140" i="1"/>
  <c r="L139" i="1"/>
  <c r="T139" i="1" s="1"/>
  <c r="C139" i="1"/>
  <c r="L138" i="1"/>
  <c r="T138" i="1" s="1"/>
  <c r="C138" i="1"/>
  <c r="L137" i="1"/>
  <c r="T137" i="1" s="1"/>
  <c r="C137" i="1"/>
  <c r="L136" i="1"/>
  <c r="T136" i="1" s="1"/>
  <c r="C136" i="1"/>
  <c r="L135" i="1"/>
  <c r="T135" i="1" s="1"/>
  <c r="C135" i="1"/>
  <c r="L134" i="1"/>
  <c r="T134" i="1" s="1"/>
  <c r="C134" i="1"/>
  <c r="L133" i="1"/>
  <c r="T133" i="1" s="1"/>
  <c r="C133" i="1"/>
  <c r="L132" i="1"/>
  <c r="T132" i="1" s="1"/>
  <c r="C132" i="1"/>
  <c r="L131" i="1"/>
  <c r="T131" i="1" s="1"/>
  <c r="C131" i="1"/>
  <c r="L130" i="1"/>
  <c r="T130" i="1" s="1"/>
  <c r="C130" i="1"/>
  <c r="L129" i="1"/>
  <c r="T129" i="1" s="1"/>
  <c r="C129" i="1"/>
  <c r="L128" i="1"/>
  <c r="T128" i="1" s="1"/>
  <c r="C128" i="1"/>
  <c r="L127" i="1"/>
  <c r="T127" i="1" s="1"/>
  <c r="C127" i="1"/>
  <c r="L126" i="1"/>
  <c r="T126" i="1" s="1"/>
  <c r="C126" i="1"/>
  <c r="L125" i="1"/>
  <c r="T125" i="1" s="1"/>
  <c r="C125" i="1"/>
  <c r="L124" i="1"/>
  <c r="T124" i="1" s="1"/>
  <c r="C124" i="1"/>
  <c r="L123" i="1"/>
  <c r="T123" i="1" s="1"/>
  <c r="C123" i="1"/>
  <c r="L122" i="1"/>
  <c r="T122" i="1" s="1"/>
  <c r="C122" i="1"/>
  <c r="L121" i="1"/>
  <c r="T121" i="1" s="1"/>
  <c r="C121" i="1"/>
  <c r="L120" i="1"/>
  <c r="T120" i="1" s="1"/>
  <c r="C120" i="1"/>
  <c r="L119" i="1"/>
  <c r="T119" i="1" s="1"/>
  <c r="C119" i="1"/>
  <c r="L118" i="1"/>
  <c r="T118" i="1" s="1"/>
  <c r="C118" i="1"/>
  <c r="L117" i="1"/>
  <c r="T117" i="1" s="1"/>
  <c r="C117" i="1"/>
  <c r="L116" i="1"/>
  <c r="T116" i="1" s="1"/>
  <c r="C116" i="1"/>
  <c r="L115" i="1"/>
  <c r="T115" i="1" s="1"/>
  <c r="C115" i="1"/>
  <c r="L114" i="1"/>
  <c r="T114" i="1" s="1"/>
  <c r="C114" i="1"/>
  <c r="L113" i="1"/>
  <c r="T113" i="1" s="1"/>
  <c r="C113" i="1"/>
  <c r="L112" i="1"/>
  <c r="T112" i="1" s="1"/>
  <c r="C112" i="1"/>
  <c r="L111" i="1"/>
  <c r="T111" i="1" s="1"/>
  <c r="C111" i="1"/>
  <c r="L110" i="1"/>
  <c r="T110" i="1" s="1"/>
  <c r="C110" i="1"/>
  <c r="L109" i="1"/>
  <c r="T109" i="1" s="1"/>
  <c r="C109" i="1"/>
  <c r="L108" i="1"/>
  <c r="T108" i="1" s="1"/>
  <c r="C108" i="1"/>
  <c r="L107" i="1"/>
  <c r="T107" i="1" s="1"/>
  <c r="C107" i="1"/>
  <c r="L106" i="1"/>
  <c r="T106" i="1" s="1"/>
  <c r="C106" i="1"/>
  <c r="L105" i="1"/>
  <c r="T105" i="1" s="1"/>
  <c r="C105" i="1"/>
  <c r="L104" i="1"/>
  <c r="T104" i="1" s="1"/>
  <c r="C104" i="1"/>
  <c r="L103" i="1"/>
  <c r="T103" i="1" s="1"/>
  <c r="L102" i="1"/>
  <c r="T102" i="1" s="1"/>
  <c r="L101" i="1"/>
  <c r="T101" i="1" s="1"/>
  <c r="L100" i="1"/>
  <c r="T100" i="1" s="1"/>
  <c r="L99" i="1"/>
  <c r="T99" i="1" s="1"/>
  <c r="C99" i="1"/>
  <c r="L98" i="1"/>
  <c r="T98" i="1" s="1"/>
  <c r="C98" i="1"/>
  <c r="L97" i="1"/>
  <c r="T97" i="1" s="1"/>
  <c r="C97" i="1"/>
  <c r="L96" i="1"/>
  <c r="T96" i="1" s="1"/>
  <c r="C96" i="1"/>
  <c r="L95" i="1"/>
  <c r="T95" i="1" s="1"/>
  <c r="C95" i="1"/>
  <c r="L94" i="1"/>
  <c r="T94" i="1" s="1"/>
  <c r="C94" i="1"/>
  <c r="L93" i="1"/>
  <c r="T93" i="1" s="1"/>
  <c r="C93" i="1"/>
  <c r="L92" i="1"/>
  <c r="T92" i="1" s="1"/>
  <c r="C92" i="1"/>
  <c r="L91" i="1"/>
  <c r="T91" i="1" s="1"/>
  <c r="C91" i="1"/>
  <c r="L90" i="1"/>
  <c r="T90" i="1" s="1"/>
  <c r="C90" i="1"/>
  <c r="L89" i="1"/>
  <c r="T89" i="1" s="1"/>
  <c r="C89" i="1"/>
  <c r="L88" i="1"/>
  <c r="T88" i="1" s="1"/>
  <c r="C88" i="1"/>
  <c r="L87" i="1"/>
  <c r="T87" i="1" s="1"/>
  <c r="C87" i="1"/>
  <c r="L86" i="1"/>
  <c r="T86" i="1" s="1"/>
  <c r="C86" i="1"/>
  <c r="L85" i="1"/>
  <c r="T85" i="1" s="1"/>
  <c r="C85" i="1"/>
  <c r="L84" i="1"/>
  <c r="T84" i="1" s="1"/>
  <c r="C84" i="1"/>
  <c r="V83" i="1"/>
  <c r="L83" i="1"/>
  <c r="T83" i="1" s="1"/>
  <c r="C83" i="1"/>
  <c r="R82" i="1"/>
  <c r="X82" i="1" s="1"/>
  <c r="O82" i="1"/>
  <c r="V82" i="1" s="1"/>
  <c r="L82" i="1"/>
  <c r="T82" i="1" s="1"/>
  <c r="C82" i="1"/>
  <c r="R81" i="1"/>
  <c r="X81" i="1" s="1"/>
  <c r="O81" i="1"/>
  <c r="V81" i="1" s="1"/>
  <c r="L81" i="1"/>
  <c r="T81" i="1" s="1"/>
  <c r="C81" i="1"/>
  <c r="L80" i="1"/>
  <c r="T80" i="1" s="1"/>
  <c r="C80" i="1"/>
  <c r="L79" i="1"/>
  <c r="T79" i="1" s="1"/>
  <c r="C79" i="1"/>
  <c r="L78" i="1"/>
  <c r="T78" i="1" s="1"/>
  <c r="C78" i="1"/>
  <c r="L77" i="1"/>
  <c r="T77" i="1" s="1"/>
  <c r="C77" i="1"/>
  <c r="L76" i="1"/>
  <c r="T76" i="1" s="1"/>
  <c r="C76" i="1"/>
  <c r="L75" i="1"/>
  <c r="T75" i="1" s="1"/>
  <c r="C75" i="1"/>
  <c r="L74" i="1"/>
  <c r="T74" i="1" s="1"/>
  <c r="C74" i="1"/>
  <c r="L73" i="1"/>
  <c r="T73" i="1" s="1"/>
  <c r="C73" i="1"/>
  <c r="R72" i="1"/>
  <c r="X72" i="1" s="1"/>
  <c r="O72" i="1"/>
  <c r="V72" i="1" s="1"/>
  <c r="L72" i="1"/>
  <c r="T72" i="1" s="1"/>
  <c r="B72" i="1"/>
  <c r="R71" i="1"/>
  <c r="X71" i="1" s="1"/>
  <c r="O71" i="1"/>
  <c r="V71" i="1" s="1"/>
  <c r="L71" i="1"/>
  <c r="T71" i="1" s="1"/>
  <c r="B71" i="1"/>
  <c r="R70" i="1"/>
  <c r="X70" i="1" s="1"/>
  <c r="O70" i="1"/>
  <c r="V70" i="1" s="1"/>
  <c r="L70" i="1"/>
  <c r="T70" i="1" s="1"/>
  <c r="B70" i="1"/>
  <c r="R69" i="1"/>
  <c r="X69" i="1" s="1"/>
  <c r="O69" i="1"/>
  <c r="V69" i="1" s="1"/>
  <c r="L69" i="1"/>
  <c r="T69" i="1" s="1"/>
  <c r="C69" i="1"/>
  <c r="R68" i="1"/>
  <c r="X68" i="1" s="1"/>
  <c r="O68" i="1"/>
  <c r="V68" i="1" s="1"/>
  <c r="L68" i="1"/>
  <c r="T68" i="1" s="1"/>
  <c r="C68" i="1"/>
  <c r="R67" i="1"/>
  <c r="X67" i="1" s="1"/>
  <c r="O67" i="1"/>
  <c r="V67" i="1" s="1"/>
  <c r="L67" i="1"/>
  <c r="T67" i="1" s="1"/>
  <c r="C67" i="1"/>
  <c r="O66" i="1"/>
  <c r="V66" i="1" s="1"/>
  <c r="L66" i="1"/>
  <c r="T66" i="1" s="1"/>
  <c r="C66" i="1"/>
  <c r="O65" i="1"/>
  <c r="V65" i="1" s="1"/>
  <c r="L65" i="1"/>
  <c r="T65" i="1" s="1"/>
  <c r="C65" i="1"/>
  <c r="O64" i="1"/>
  <c r="V64" i="1" s="1"/>
  <c r="L64" i="1"/>
  <c r="T64" i="1" s="1"/>
  <c r="C64" i="1"/>
  <c r="R63" i="1"/>
  <c r="X63" i="1" s="1"/>
  <c r="O63" i="1"/>
  <c r="V63" i="1" s="1"/>
  <c r="L63" i="1"/>
  <c r="T63" i="1" s="1"/>
  <c r="C63" i="1"/>
  <c r="R62" i="1"/>
  <c r="X62" i="1" s="1"/>
  <c r="O62" i="1"/>
  <c r="V62" i="1" s="1"/>
  <c r="L62" i="1"/>
  <c r="T62" i="1" s="1"/>
  <c r="C62" i="1"/>
  <c r="R61" i="1"/>
  <c r="X61" i="1" s="1"/>
  <c r="O61" i="1"/>
  <c r="V61" i="1" s="1"/>
  <c r="L61" i="1"/>
  <c r="T61" i="1" s="1"/>
  <c r="C61" i="1"/>
  <c r="C43" i="1"/>
  <c r="C42" i="1"/>
  <c r="C41" i="1"/>
  <c r="O40" i="1"/>
  <c r="V40" i="1" s="1"/>
  <c r="L40" i="1"/>
  <c r="T40" i="1" s="1"/>
  <c r="C40" i="1"/>
  <c r="O39" i="1"/>
  <c r="V39" i="1" s="1"/>
  <c r="L39" i="1"/>
  <c r="T39" i="1" s="1"/>
  <c r="C39" i="1"/>
  <c r="O38" i="1"/>
  <c r="V38" i="1" s="1"/>
  <c r="L38" i="1"/>
  <c r="T38" i="1" s="1"/>
  <c r="C38" i="1"/>
  <c r="O37" i="1"/>
  <c r="V37" i="1" s="1"/>
  <c r="L37" i="1"/>
  <c r="T37" i="1" s="1"/>
  <c r="C37" i="1"/>
  <c r="R36" i="1"/>
  <c r="X36" i="1" s="1"/>
  <c r="L36" i="1"/>
  <c r="T36" i="1" s="1"/>
  <c r="C36" i="1"/>
  <c r="R35" i="1"/>
  <c r="X35" i="1" s="1"/>
  <c r="L35" i="1"/>
  <c r="T35" i="1" s="1"/>
  <c r="C35" i="1"/>
  <c r="R34" i="1"/>
  <c r="X34" i="1" s="1"/>
  <c r="O34" i="1"/>
  <c r="V34" i="1" s="1"/>
  <c r="L34" i="1"/>
  <c r="T34" i="1" s="1"/>
  <c r="C34" i="1"/>
  <c r="R33" i="1"/>
  <c r="X33" i="1" s="1"/>
  <c r="L33" i="1"/>
  <c r="T33" i="1" s="1"/>
  <c r="C33" i="1"/>
  <c r="R32" i="1"/>
  <c r="X32" i="1" s="1"/>
  <c r="L32" i="1"/>
  <c r="T32" i="1" s="1"/>
  <c r="C32" i="1"/>
  <c r="R31" i="1"/>
  <c r="X31" i="1" s="1"/>
  <c r="O31" i="1"/>
  <c r="V31" i="1" s="1"/>
  <c r="L31" i="1"/>
  <c r="T31" i="1" s="1"/>
  <c r="C31" i="1"/>
  <c r="R30" i="1"/>
  <c r="X30" i="1" s="1"/>
  <c r="O30" i="1"/>
  <c r="V30" i="1" s="1"/>
  <c r="L30" i="1"/>
  <c r="T30" i="1" s="1"/>
  <c r="C30" i="1"/>
  <c r="R29" i="1"/>
  <c r="X29" i="1" s="1"/>
  <c r="O29" i="1"/>
  <c r="V29" i="1" s="1"/>
  <c r="L29" i="1"/>
  <c r="T29" i="1" s="1"/>
  <c r="C29" i="1"/>
  <c r="R28" i="1"/>
  <c r="X28" i="1" s="1"/>
  <c r="O28" i="1"/>
  <c r="V28" i="1" s="1"/>
  <c r="L28" i="1"/>
  <c r="T28" i="1" s="1"/>
  <c r="C28" i="1"/>
  <c r="R27" i="1"/>
  <c r="X27" i="1" s="1"/>
  <c r="O27" i="1"/>
  <c r="V27" i="1" s="1"/>
  <c r="L27" i="1"/>
  <c r="T27" i="1" s="1"/>
  <c r="C27" i="1"/>
  <c r="R26" i="1"/>
  <c r="X26" i="1" s="1"/>
  <c r="O26" i="1"/>
  <c r="V26" i="1" s="1"/>
  <c r="L26" i="1"/>
  <c r="T26" i="1" s="1"/>
  <c r="C26" i="1"/>
  <c r="O25" i="1"/>
  <c r="V25" i="1" s="1"/>
  <c r="L25" i="1"/>
  <c r="T25" i="1" s="1"/>
  <c r="C25" i="1"/>
  <c r="O24" i="1"/>
  <c r="V24" i="1" s="1"/>
  <c r="L24" i="1"/>
  <c r="T24" i="1" s="1"/>
  <c r="C24" i="1"/>
  <c r="O23" i="1"/>
  <c r="V23" i="1" s="1"/>
  <c r="L23" i="1"/>
  <c r="T23" i="1" s="1"/>
  <c r="C23" i="1"/>
  <c r="R22" i="1"/>
  <c r="X22" i="1" s="1"/>
  <c r="O22" i="1"/>
  <c r="V22" i="1" s="1"/>
  <c r="L22" i="1"/>
  <c r="T22" i="1" s="1"/>
  <c r="C22" i="1"/>
  <c r="R21" i="1"/>
  <c r="X21" i="1" s="1"/>
  <c r="O21" i="1"/>
  <c r="V21" i="1" s="1"/>
  <c r="L21" i="1"/>
  <c r="T21" i="1" s="1"/>
  <c r="C21" i="1"/>
  <c r="R20" i="1"/>
  <c r="X20" i="1" s="1"/>
  <c r="O20" i="1"/>
  <c r="V20" i="1" s="1"/>
  <c r="L20" i="1"/>
  <c r="T20" i="1" s="1"/>
  <c r="C20" i="1"/>
  <c r="R19" i="1"/>
  <c r="X19" i="1" s="1"/>
  <c r="O19" i="1"/>
  <c r="V19" i="1" s="1"/>
  <c r="C19" i="1"/>
  <c r="R18" i="1"/>
  <c r="X18" i="1" s="1"/>
  <c r="O18" i="1"/>
  <c r="V18" i="1" s="1"/>
  <c r="L18" i="1"/>
  <c r="T18" i="1" s="1"/>
  <c r="C18" i="1"/>
  <c r="R17" i="1"/>
  <c r="X17" i="1" s="1"/>
  <c r="O17" i="1"/>
  <c r="V17" i="1" s="1"/>
  <c r="L17" i="1"/>
  <c r="T17" i="1" s="1"/>
  <c r="C17" i="1"/>
  <c r="R16" i="1"/>
  <c r="X16" i="1" s="1"/>
  <c r="O16" i="1"/>
  <c r="V16" i="1" s="1"/>
  <c r="L16" i="1"/>
  <c r="T16" i="1" s="1"/>
  <c r="C16" i="1"/>
  <c r="R15" i="1"/>
  <c r="X15" i="1" s="1"/>
  <c r="O15" i="1"/>
  <c r="V15" i="1" s="1"/>
  <c r="L15" i="1"/>
  <c r="T15" i="1" s="1"/>
  <c r="C15" i="1"/>
  <c r="R14" i="1"/>
  <c r="X14" i="1" s="1"/>
  <c r="O14" i="1"/>
  <c r="V14" i="1" s="1"/>
  <c r="L14" i="1"/>
  <c r="T14" i="1" s="1"/>
  <c r="C14" i="1"/>
  <c r="R13" i="1"/>
  <c r="X13" i="1" s="1"/>
  <c r="O13" i="1"/>
  <c r="V13" i="1" s="1"/>
  <c r="L13" i="1"/>
  <c r="T13" i="1" s="1"/>
  <c r="C13" i="1"/>
  <c r="R12" i="1"/>
  <c r="X12" i="1" s="1"/>
  <c r="O12" i="1"/>
  <c r="V12" i="1" s="1"/>
  <c r="L12" i="1"/>
  <c r="T12" i="1" s="1"/>
  <c r="C12" i="1"/>
  <c r="R11" i="1"/>
  <c r="X11" i="1" s="1"/>
  <c r="O11" i="1"/>
  <c r="V11" i="1" s="1"/>
  <c r="L11" i="1"/>
  <c r="T11" i="1" s="1"/>
  <c r="C11" i="1"/>
  <c r="R10" i="1"/>
  <c r="X10" i="1" s="1"/>
  <c r="O10" i="1"/>
  <c r="V10" i="1" s="1"/>
  <c r="L10" i="1"/>
  <c r="T10" i="1" s="1"/>
  <c r="C10" i="1"/>
  <c r="R9" i="1"/>
  <c r="X9" i="1" s="1"/>
  <c r="O9" i="1"/>
  <c r="V9" i="1" s="1"/>
  <c r="L9" i="1"/>
  <c r="T9" i="1" s="1"/>
  <c r="C9" i="1"/>
  <c r="R8" i="1"/>
  <c r="X8" i="1" s="1"/>
  <c r="O8" i="1"/>
  <c r="V8" i="1" s="1"/>
  <c r="L8" i="1"/>
  <c r="T8" i="1" s="1"/>
  <c r="C8" i="1"/>
  <c r="R7" i="1"/>
  <c r="X7" i="1" s="1"/>
  <c r="O7" i="1"/>
  <c r="V7" i="1" s="1"/>
  <c r="L7" i="1"/>
  <c r="T7" i="1" s="1"/>
  <c r="C7" i="1"/>
  <c r="R6" i="1"/>
  <c r="X6" i="1" s="1"/>
  <c r="O6" i="1"/>
  <c r="V6" i="1" s="1"/>
  <c r="L6" i="1"/>
  <c r="T6" i="1" s="1"/>
  <c r="C6" i="1"/>
  <c r="R5" i="1"/>
  <c r="X5" i="1" s="1"/>
  <c r="O5" i="1"/>
  <c r="V5" i="1" s="1"/>
  <c r="L5" i="1"/>
  <c r="T5" i="1" s="1"/>
  <c r="C5" i="1"/>
  <c r="O4" i="1"/>
  <c r="V4" i="1" s="1"/>
  <c r="L4" i="1"/>
  <c r="T4" i="1" s="1"/>
  <c r="C4" i="1"/>
  <c r="O3" i="1"/>
  <c r="V3" i="1" s="1"/>
  <c r="L3" i="1"/>
  <c r="T3" i="1" s="1"/>
  <c r="C3" i="1"/>
  <c r="O2" i="1"/>
  <c r="V2" i="1" s="1"/>
  <c r="T2" i="1"/>
  <c r="C2" i="1"/>
</calcChain>
</file>

<file path=xl/sharedStrings.xml><?xml version="1.0" encoding="utf-8"?>
<sst xmlns="http://schemas.openxmlformats.org/spreadsheetml/2006/main" count="7990" uniqueCount="298">
  <si>
    <t>Article</t>
  </si>
  <si>
    <t>MMT weight%</t>
  </si>
  <si>
    <t>MMT volume%</t>
  </si>
  <si>
    <t>Thermoset? Thermoplastic? Elastomer?</t>
  </si>
  <si>
    <t>Polymer matrix name</t>
  </si>
  <si>
    <t>Modification (modified/unmodified)</t>
  </si>
  <si>
    <t>Dispersion(microcomposite/exfoliated/intercalated/agglomerated)</t>
  </si>
  <si>
    <t>Experimental/Simulated</t>
  </si>
  <si>
    <t>Test Method</t>
  </si>
  <si>
    <t>Polymer matrix elastic modulus (GPa)</t>
  </si>
  <si>
    <t>Nanocomposite Elastic Modulus (GPa)</t>
  </si>
  <si>
    <t>Elastic Modulus improvement (%)</t>
  </si>
  <si>
    <t>Polymer matrix Strength (MPa)</t>
  </si>
  <si>
    <t>Nanocomposite Strength (MPa)</t>
  </si>
  <si>
    <t>Strength improvement (%)</t>
  </si>
  <si>
    <t>Polymer matrix strain to failure</t>
  </si>
  <si>
    <t>Nanocomposite strain to failure</t>
  </si>
  <si>
    <t>Strain to failure improvement%</t>
  </si>
  <si>
    <t>Polymer matrix elastic modulus Log10</t>
  </si>
  <si>
    <t>Elastic modulus improvement Log10</t>
  </si>
  <si>
    <t>Polymer matrix strength Log10</t>
  </si>
  <si>
    <t>Strength improvement Log10</t>
  </si>
  <si>
    <t>Polymer matrix strain to failure Log10</t>
  </si>
  <si>
    <t>Strain to failure improvement Log10</t>
  </si>
  <si>
    <t>Biocompatible organic coating fabrication via polymer/clay nanocomposites: Evaluation of mechanical improvements, Kandemir et al., Polym. Comp. 2023</t>
  </si>
  <si>
    <t>Thermoplastic</t>
  </si>
  <si>
    <t>PVP</t>
  </si>
  <si>
    <t>Unmodified</t>
  </si>
  <si>
    <t>exfoliated</t>
  </si>
  <si>
    <t>Experimental</t>
  </si>
  <si>
    <t>Instrumented-indentation</t>
  </si>
  <si>
    <t>?</t>
  </si>
  <si>
    <t>Development of Hashin-Shtrikman model to determine the roles and properties of interphases in clay/CaCO3/PP ternary nanocomposite, Zare et al., Appl. Clay Sci. 2017</t>
  </si>
  <si>
    <t>PP</t>
  </si>
  <si>
    <t>Modified</t>
  </si>
  <si>
    <t>intercalated/exfoliated</t>
  </si>
  <si>
    <t>Tensile Test</t>
  </si>
  <si>
    <t>intercalated</t>
  </si>
  <si>
    <t>microcomposite</t>
  </si>
  <si>
    <t>Tuning the Mechanical Properties of Poly(Methyl Acrylate) via Surface-Functionalized Montmorillonite Nanosheets, Rauschendorfer et al., Macromol. Mater. Eng. 2020</t>
  </si>
  <si>
    <t>PMA</t>
  </si>
  <si>
    <t>Correlating the rheological and mechanical response of polyurethane nanocomposites containing hyperbranched polymers, Plummer et al., Polymer (Guildf). 2005</t>
  </si>
  <si>
    <t>Thermoset</t>
  </si>
  <si>
    <t>Epoxy</t>
  </si>
  <si>
    <t>Effect of type and concentration of nanoclay on the mechanical and physicochemical properties of bis-GMA/TTEGDMA dental resins, Encalada-Alayola et al., Polymers (Basel). 2020</t>
  </si>
  <si>
    <t>Bis-GMA/TTEGDMA</t>
  </si>
  <si>
    <t>Flexural Test</t>
  </si>
  <si>
    <t>Enhanced ductility and tensile properties of hybrid montmorillonite/cellulose nanowhiskers reinforced polylactic acid nanocomposites , Arjmandi et al., J. Mater. Sci. 2015</t>
  </si>
  <si>
    <t>PLA</t>
  </si>
  <si>
    <t>The use of montmorillonite clays as reinforcing fillers for dental adhesives, De Menezes et al., Mater. Res. 2016</t>
  </si>
  <si>
    <t xml:space="preserve"> Dimethacrylate Copolymer</t>
  </si>
  <si>
    <t xml:space="preserve">  Flexural Test (Three Point Bending)</t>
  </si>
  <si>
    <t>agglomerated</t>
  </si>
  <si>
    <t>An approach to study the roles of percolation threshold and interphase in tensile modulus of polymer/clay nanocomposites, Zare , J. Colloid Interface Sci. 2017</t>
  </si>
  <si>
    <t>Simulated</t>
  </si>
  <si>
    <t>Efficiency of stress transfer between polymer matrix and nanoplatelets in clay / polymer nanocomposites, Zare et al., Appl. Clay Sci. 2017</t>
  </si>
  <si>
    <t>PBT</t>
  </si>
  <si>
    <t>PMMA</t>
  </si>
  <si>
    <t>PA6</t>
  </si>
  <si>
    <t>modified</t>
  </si>
  <si>
    <t>Effect of halloysite nanotubes and organically modified bentonite clay hybrid filler system on the properties of natural rubber, Abhisha et al., J. Elastomers Plast. 2020</t>
  </si>
  <si>
    <t>Elastomer</t>
  </si>
  <si>
    <t>NR</t>
  </si>
  <si>
    <t>Deformation mechanism of epoxy/clay nanocomposite, Akbari et al., Eur. Polym. J. 2007</t>
  </si>
  <si>
    <t>PHBV nanocomposites based on organomodified montmorillonite and halloysite: The effect of clay type on the morphology and thermal and mechanical properties, Carli et al., Compos. Part A Appl. Sci. Manuf. 2011</t>
  </si>
  <si>
    <t>PHBV</t>
  </si>
  <si>
    <t>exfoliated/intercaleted</t>
  </si>
  <si>
    <t>Effects of montmorillonite, sepiolite, and halloysite clays on the morphology and properties of polycaprolactone bionanocomposites, Kassa et al., Polym. Polym. Compos. 2020</t>
  </si>
  <si>
    <t>PCL</t>
  </si>
  <si>
    <t>Toughness and Fracture Properties in Nacre-Mimetic Clay / Polymer Nanocomposites, Morits et al., 2017</t>
  </si>
  <si>
    <t>PVA</t>
  </si>
  <si>
    <t>A new approach for prediction of elastic modulus of polymer/nanoclay composites by considering interfacial debonding: Experimental and numerical investigations, Heydari-Meybodi et al., Compos. Sci. Technol. 2015</t>
  </si>
  <si>
    <t>On the tensile behavior of clay-epoxy nanocomposite considering interphase debonding damage via mixed-mode cohesive zone material, Maleki Moghadam et al., Compos. Part B Eng. 2016</t>
  </si>
  <si>
    <t>Simulation of Young’s modulus for clay-reinforced nanocomposites assuming mechanical percolation, clay-interphase networks and interfacial linkage, Zare et al., J. Mater. Res. Technol. 2020</t>
  </si>
  <si>
    <t xml:space="preserve">Nylon 6 </t>
  </si>
  <si>
    <t>Development of a model for modulus of polymer halloysite nanotube nanocomposites by the interphase zones around dispersed and networked nanotubes, Zare et al., Sci. Rep. 2022</t>
  </si>
  <si>
    <t>Effects of critical interfacial shear modulus between polymer matrix and nanoclay on the effective interphase properties and tensile modulus of nanocomposites, Zare et al., Constr. Build. Mater. 2020</t>
  </si>
  <si>
    <t>Mechanics of polymer-clay nanocomposites, Rao et al., 2007</t>
  </si>
  <si>
    <t>intercalated/microcomposite</t>
  </si>
  <si>
    <t>3D multiscale modeling to predict the elastic modulus of polymer/nanoclay composites considering realistic interphase property, Heydari-Meybodi et al., 2016</t>
  </si>
  <si>
    <t>PU</t>
  </si>
  <si>
    <t>Okamato M. - Polymer Clay Nanocomposites- American Scientific Publishers (2004) - table 13</t>
  </si>
  <si>
    <t>intercalated/exfoliation</t>
  </si>
  <si>
    <t xml:space="preserve">intercalated </t>
  </si>
  <si>
    <t>Mechanical Properties of Clay-Reinforced Polyamide, Varlot et al., Journal of Poly. Sci., 2002</t>
  </si>
  <si>
    <t>PA</t>
  </si>
  <si>
    <t>Effect of Clay on Properties of Polyimide-Clay Nanocomposites, Wang et al., Journal of Applied Polymer Science, 2007</t>
  </si>
  <si>
    <t>PI</t>
  </si>
  <si>
    <t>Polymer Nanocomposites, Mai et al., Woodhead, 2006</t>
  </si>
  <si>
    <t xml:space="preserve">Modified </t>
  </si>
  <si>
    <t>L, A Utracki - Clay- Containing Polymeric Nanocomposites Volume 1 (2004) - Figure 57</t>
  </si>
  <si>
    <t>L, A Utracki - Clay- Containing Polymeric Nanocomposites Volume 1 (2004) - Table 30</t>
  </si>
  <si>
    <t>L, A Utracki - Clay-Containing Polymeric Nanocomposites Volume 1 (2004)- figure 47</t>
  </si>
  <si>
    <t>exfoliated/intercalated</t>
  </si>
  <si>
    <t>Synthesis, Structure, Mechanical Properties, and thermal stabilty of some polysulfone/organoclay nanocomposites, Sur et al., Polymer, 2001</t>
  </si>
  <si>
    <t>PSF</t>
  </si>
  <si>
    <t>Mechanical Properties of Polypropylene/Clay Nanocomposites: Effect of Clay Content, Polymer/Clay Compatibility, and Processing Conditions, Tarapow et al., Journal of Applied Polymer Science, 2008</t>
  </si>
  <si>
    <t>Polystyrene-Sepiolite Clay Nanocomposites with Enahnced Mechanical and Thermal Properties, Rehman et al., 2022</t>
  </si>
  <si>
    <t>PS</t>
  </si>
  <si>
    <t>Mechanical Properties of PP/Clay Nanocomposites Prepared from Masterbatch, Chafdiz et al., Key Engineering Materials, 2019</t>
  </si>
  <si>
    <t>Mechanical and thermo-mechanical properties of nanoclay/epoxy composites: synergistic effects of silanization and surfactant application, Baştürk et al., Materials Research Express, 2018</t>
  </si>
  <si>
    <t>Lepoittevin B, Pantoustier N, Devalckenaere M, et al.
 Poly(epsilon-caprolactone)/clay nanocomposites by in-situ intercalative
 polymerization catalyzed by dibutyltindimethoxide. Macromolecule
 2002; 35(22): 8385-90.</t>
  </si>
  <si>
    <t>Enhancement of the Properties of Hybridizing Epoxy and Nanoclay for Mechanical, Industrial, and Biomedical Applications</t>
  </si>
  <si>
    <t>Lee DC, Jang LW. Preparation and characterization of PMMA-clay
 hybrid composite by emulsion polymerization. J Appl Polym Sci
 1996; 61(7): 1117-22.</t>
  </si>
  <si>
    <t>Marras SI, Zuburtikudis I, Panayiotou C. Nanostructure vs. microstructure:
 morphological and thermomechanical characterization of
 poly(L-lactic acid)/layered silicate hybrids. Eur Polym J 2007;
 43(6): 2191-06.</t>
  </si>
  <si>
    <t>PLLA</t>
  </si>
  <si>
    <t>Okada A, Usuki A. The chemistry of polymer-clay hybrids. Mater Sci Eng C 1995; 3(2): 109-15.</t>
  </si>
  <si>
    <t>Nylon 6</t>
  </si>
  <si>
    <t>Oriakhi CO. Nano sandwiches. Chem Br 1995; 34: 59-62.</t>
  </si>
  <si>
    <t>Zanetti M, Camino G, Canavese D, Morgan AB, Lamelas FJ, Wilkie CA. Fire retardant halogen-antimony-clay synergism in polypropylene layered silicate nanocomposites. Chem Mater 2002; 14(1): 189-93.</t>
  </si>
  <si>
    <t>Fabrication and Mechanical Properties of Chitosan-Montmorillonite</t>
  </si>
  <si>
    <t>Chitosan</t>
  </si>
  <si>
    <t>unmodified</t>
  </si>
  <si>
    <t>Z. Shanti Kiran, V. Suresh Babu, K. V. L. Soma Sekhar, P. Muvvala, M. Kameswara Reddy, and S. Gugulothu, “Tensile and flexural characteristics of an epoxy-glass composite reinforced with Cloisite 15A nanoclay,” Iranian Polymer Journal (English Edition), vol. 30, no. 8, pp. 831–841, Aug. 2021, doi: 10.1007/s13726-021-00934-9.</t>
  </si>
  <si>
    <t>I. Ozsoy, A. Demirkol, A. Mimaroglu, H. Unal, and Z. Demir, “The influence of micro- And nano-filler content on the mechanical properties of epoxy composites,” Strojniski Vestnik/Journal of Mechanical Engineering, vol. 61, no. 10, pp. 601–609, 2015, doi: 10.5545/sv-jme.2015.2632.</t>
  </si>
  <si>
    <t>P. N. Harshita, D. K. Rathore, R. K. Prusty, and B. C. Ray, “Extrapolation of Mechanical Strengthening Effect in Nanoclay/Epoxy Nanocomposites to Elevated Temperature Environments,” Transactions of the Indian Institute of Metals, vol. 71, no. 8, pp. 2015–2024, Aug. 2018, doi: 10.1007/s12666-018-1334-8.</t>
  </si>
  <si>
    <t>intercalated/ exfoliated</t>
  </si>
  <si>
    <t>S. S. Chee and M. Jawaid, “The effect of bi-functionalized MMT on morphology, thermal stability, dynamic mechanical, and tensile properties of epoxy/organoclay nanocomposites,” Polymers, vol. 11, no. 12, Dec. 2019, doi: 10.3390/polym11122012.</t>
  </si>
  <si>
    <t>0.5</t>
  </si>
  <si>
    <t>0.25</t>
  </si>
  <si>
    <t>S. S. Ray, “Recent trends and future outlooks in the field of clay-containing polymer nanocomposites,” Macromolecular Chemistry and Physics, vol. 215, no. 12, pp. 1162–1179, 2014, doi: 10.1002/macp.201400069.</t>
  </si>
  <si>
    <t>PA6/PP</t>
  </si>
  <si>
    <t>PLA/PP</t>
  </si>
  <si>
    <t>NBR/PU</t>
  </si>
  <si>
    <t>PVC</t>
  </si>
  <si>
    <t>PE</t>
  </si>
  <si>
    <t>P. Saikia, “Clay nanostructures for biomedical applications,” in Two-Dimensional Nanostructures for Biomedical Technology: A Bridge between Material Science and Bioengineering, Elsevier, 2019, pp. 137–172. doi: 10.1016/B978-0-12-817650-4.00005-X.</t>
  </si>
  <si>
    <t>G. Örçen and D. Bayram, “Effect of nanoclay on the mechanical and thermal properties of glass fiber-reinforced epoxy composites,” Journal of Materials Science, vol. 59, no. 8, pp. 3467–3487, Feb. 2024, doi: 10.1007/s10853-024-09387-w.</t>
  </si>
  <si>
    <t>N. Merah and O. Mohamed, “Nanoclay and water uptake effects on mechanical properties of unsaturated polyester,” Journal of Nanomaterials, vol. 2019, 2019, doi: 10.1155/2019/8130419.</t>
  </si>
  <si>
    <t>UP</t>
  </si>
  <si>
    <t>A. M. Abdel-Gawad, A. R. Ramadan, A. Flores, and A. M. K. Esawi, “Fabrication of Nylon 6-Montmorillonite Clay Nanocomposites with Enhanced Structural and Mechanical Properties by Solution Compounding,” Polymers, vol. 14, no. 21, Nov. 2022, doi: 10.3390/polym14214471.</t>
  </si>
  <si>
    <t xml:space="preserve">exfoliated/intercalated </t>
  </si>
  <si>
    <t>Nanoindentation</t>
  </si>
  <si>
    <t>Nylon 7</t>
  </si>
  <si>
    <t>Nylon 8</t>
  </si>
  <si>
    <t>T. A. Nguyen, T. M. H. Pham, T. H. Dang, T. H. Do, and Q. T. Nguyen, “Study on Mechanical Properties and Fire Resistance of Epoxy Nanocomposite Reinforced with Environmentally Friendly Additive: Nanoclay I.30E,” Journal of Chemistry, vol. 2020, 2020, doi: 10.1155/2020/3460645.</t>
  </si>
  <si>
    <t>Tensile test</t>
  </si>
  <si>
    <t>Kusmono and Z. Arifin Mohd Ishak, “Effect of clay addition on mechanical properties of unsaturated polyester/glass fiber composites,” International Journal of Polymer Science, vol. 2013, 2013, doi: 10.1155/2013/797109.</t>
  </si>
  <si>
    <t>intercalated/ agglomerated</t>
  </si>
  <si>
    <t>S. Kowshik, M. Shettar, N. Rangaswamy, G. Chate, and P. Somdee, “Effect of nanoclay on mechanical, flammability, and water absorption properties of glass fiber-epoxy composite,” Cogent Engineering, vol. 9, no. 1, 2022, doi: 10.1080/23311916.2022.2069070.</t>
  </si>
  <si>
    <t>S. U. Hamim and R. P. Singh, “Effect of Hygrothermal Aging on the Mechanical Properties of Fluorinated and Nonfluorinated Clay-Epoxy Nanocomposites,” International Scholarly Research Notices, vol. 2014, pp. 1–13, Oct. 2014, doi: 10.1155/2014/489453.</t>
  </si>
  <si>
    <t>Three-Point Bend</t>
  </si>
  <si>
    <t>N. Domun, H. Hadavinia, T. Zhang, T. Sainsbury, G. H. Liaghat, and S. Vahid, “Improving the fracture toughness and the strength of epoxy using nanomaterials-a review of the current status,” Nanoscale, vol. 7, no. 23. Royal Society of Chemistry, pp. 10294–10329, Jun. 21, 2015. doi: 10.1039/c5nr01354b.</t>
  </si>
  <si>
    <t xml:space="preserve">DGEBA </t>
  </si>
  <si>
    <t>Tensile/SENB</t>
  </si>
  <si>
    <t>Tensile/DMA</t>
  </si>
  <si>
    <t>MGSL135i</t>
  </si>
  <si>
    <t>TEM/SEM/CT</t>
  </si>
  <si>
    <t>DGEBA</t>
  </si>
  <si>
    <t>SENB/DMA</t>
  </si>
  <si>
    <t>DMA/SEN</t>
  </si>
  <si>
    <t xml:space="preserve">Compact Tension
</t>
  </si>
  <si>
    <t>A. Cerit, M. E. Marti, U. Soydal, S. Kocaman, and G. Ahmetli, “Effect of Modification with Various Epoxide Compounds on Mechanical, Thermal, and Coating Properties of Epoxy Resin,” International Journal of Polymer Science, vol. 2016, 2016, doi: 10.1155/2016/4968365.</t>
  </si>
  <si>
    <t>A. Dantas de Oliveira and C. Augusto Gonçalves Beatrice, “Polymer Nanocomposites with Different Types of Nanofiller,” in Nanocomposites - Recent Evolutions, IntechOpen, 2019. doi: 10.5772/intechopen.81329.</t>
  </si>
  <si>
    <t>HDPE</t>
  </si>
  <si>
    <t>K. Müller et al., “Review on the processing and properties of polymer nanocomposites and nanocoatings and their applications in the packaging, automotive and solar energy fields,” Nanomaterials, vol. 7, no. 4. MDPI AG, Apr. 01, 2017. doi: 10.3390/nano7040074.</t>
  </si>
  <si>
    <t>S. Fakhreddini-Najafabadi, M. Torabi, and F. Taheri-Behrooz, “An investigation on the effects of synthesis on the mechanical properties of nanoclay/epoxy,” Journal of Materials Research and Technology, vol. 15, pp. 5375–5395, Nov. 2021, doi: 10.1016/j.jmrt.2021.10.129.</t>
  </si>
  <si>
    <t>M. H. Mat Yazik, M. T. H. Sultan, A. U. M. Shah, M. Jawaid, and N. Mazlan, “Effect of nanoclay content on the thermal, mechanical and shape memory properties of epoxy nanocomposites,” Polymer Bulletin, vol. 77, no. 11, pp. 5913–5931, Nov. 2020, doi: 10.1007/s00289-019-03049-7.</t>
  </si>
  <si>
    <t>S. Firdosh, H. N. Narasimha Murthy, G. Angadi, and N. Raghavendra, “Investigation of water absorption characteristics of nano-gelcoat for marine application,” Progress in Organic Coatings, vol. 114, pp. 173–187, Jan. 2018, doi: 10.1016/j.porgcoat.2017.10.004.</t>
  </si>
  <si>
    <t>J. Zhang, S. Deng, Y. Wang, and L. Ye, “Role of rigid nanoparticles and CTBN rubber in the toughening of epoxies with different cross-linking densities,” Composites Part A: Applied Science and Manufacturing, vol. 80, pp. 82–94, Jan. 2016, doi: 10.1016/j.compositesa.2015.10.017.</t>
  </si>
  <si>
    <t>C. Wolf, H. Angellier-Coussy, N. Gontard, F. Doghieri, and V. Guillard, “How the shape of fillers affects the barrier properties of polymer/non-porous particles nanocomposites: A review,” Journal of Membrane Science, vol. 556. Elsevier B.V., pp. 393–418, Jun. 15, 2018. doi: 10.1016/j.memsci.2018.03.085.</t>
  </si>
  <si>
    <t>Dynamic Mechanical Analysis</t>
  </si>
  <si>
    <t>M. Shettar, S. Kowshik, Gowrishankar, P. Hiremath, and S. Sharma, “Water Sorption-Desorption-Resorption Effects on Mechanical Properties of Epoxy-Nanoclay Nanocomposites,” International Journal of Automotive and Mechanical Engineering, vol. 19, no. 1, pp. 9478–9486, 2022, doi: 10.15282/ijame.19.1.2022.11.0730.</t>
  </si>
  <si>
    <t>A. Tcherbi-Narteh, M. Hosur, and S. Jeelani, “Effects of Different Montmorillonite Nanoclay Loading on Cure Behavior and Properties of Diglycidyl Ether of Bisphenol A Epoxy,” Journal of Nanomaterials, vol. 2016, 2016, doi: 10.1155/2016/3840348.</t>
  </si>
  <si>
    <t>M. Shettar, U. A. Kini, S. Sharma, P. Hiremath, and G. C. G. Gowrishankar, “Hygrothermal chamber aging effect on mechanical behavior and morphology of glass fiber-epoxy-nanoclay composites,” Materials Research Express, vol. 7, no. 1, 2020, doi: 10.1088/2053-1591/ab6405.</t>
  </si>
  <si>
    <t>M. Shettar, C. S. S. Kowshik, M. Manjunath, and P. Hiremath, “Experimental investigation on mechanical and wear properties of nanoclay-epoxy composites,” Journal of Materials Research and Technology, vol. 9, no. 4, pp. 9108–9116, Jan. 2020, doi: 10.1016/j.jmrt.2020.06.058.</t>
  </si>
  <si>
    <t>R. Jeyakumar, P. S. Sampath, R. Ramamoorthi, and T. Ramakrishnan, “Structural, morphological and mechanical behaviour of glass fibre reinforced epoxy nanoclay composites,” International Journal of Advanced Manufacturing Technology, vol. 93, no. 1–4, pp. 527–535, Oct. 2017, doi: 10.1007/s00170-017-0565-x.</t>
  </si>
  <si>
    <t>N. Rull, R. P. Ollier, G. Francucci, E. S. Rodriguez, and V. A. Alvarez, “Effect of the addition of nanoclays on the water absorption and mechanical properties of glass fiber/up resin composites,” Journal of Composite Materials, vol. 49, no. 13, pp. 1629–1637, Jun. 2015, doi: 10.1177/0021998314538869.</t>
  </si>
  <si>
    <t>Rashmi, N. M. Renukappa, B. Suresha, R. M. Devarajaiah, and K. N. Shivakumar, “Dry sliding wear behaviour of organo-modified montmorillonite filled epoxy nanocomposites using Taguchi’s techniques,” Materials and Design, vol. 32, no. 8–9, pp. 4528–4536, 2011, doi: 10.1016/j.matdes.2011.03.028.</t>
  </si>
  <si>
    <t>D. Ratna, N. R. Manoj, R. Varley, R. K. Singh Raman, and G. P. Simon, “Clay-reinforced epoxy nanocomposites,” Polymer International, vol. 52, no. 9, pp. 1403–1407, Sep. 2003, doi: 10.1002/pi.1166.</t>
  </si>
  <si>
    <t>intercalated/partially exfoliated</t>
  </si>
  <si>
    <t>A. Okada and A. Usuki, “Twenty years of polymer-clay nanocomposites,” Macromolecular Materials and Engineering, vol. 291, no. 12, pp. 1449–1476, Dec. 2006, doi: 10.1002/mame.200600260.</t>
  </si>
  <si>
    <t>Nylon 66</t>
  </si>
  <si>
    <t>NBR</t>
  </si>
  <si>
    <t>T. P. Mohan, M. R. Kumar, and R. Velmurugan, “Thermal, mechanical and vibration characteristics of epoxy-clay nanocomposites,” Journal of Materials Science, vol. 41, no. 18, pp. 5915–5925, Aug. 2006, doi: 10.1007/s10853-006-0278-2.</t>
  </si>
  <si>
    <t xml:space="preserve">Tensile Test
</t>
  </si>
  <si>
    <t>R. Aradhya and N. M. Renukappa, “Mechanical and Tribological Properties of Epoxy Nano Composites for High Voltage Applications.” [Online]. Available: www.intechopen.com</t>
  </si>
  <si>
    <t>Vinyl ester</t>
  </si>
  <si>
    <t>M. Al-Qadhi, N. Merah, and Z. M. Gasem, “Mechanical properties and water uptake of epoxy-clay nanocomposites containing different clay loadings,” Journal of Materials Science, vol. 48, no. 10, pp. 3798–3804, May 2013, doi: 10.1007/s10853-013-7180-5.</t>
  </si>
  <si>
    <t>disordered intercalated/exfoliated</t>
  </si>
  <si>
    <t>X. Li, Z. Zhan, G. Peng, and W. Wang, “A new method for preparing completely exfoliated epoxy/clay nanocomposites: Nano-disassembling method,” Polymer Bulletin, vol. 67, no. 4, pp. 719–727, Aug. 2011, doi: 10.1007/s00289-011-0496-x.</t>
  </si>
  <si>
    <t>C. K. Lam and K. T. Lau, “Optimization effect of micro hardness by nanoclay clusters in nanoclay/epoxy composites,” Journal of Thermoplastic Composite Materials, vol. 22, no. 2, pp. 213–225, Mar. 2009, doi: 10.1177/0892705708091856.</t>
  </si>
  <si>
    <t>M. A. Kumar, K. H. Reddy, Y. V. M. Reddy, G. R. Reddy, and S. V. Naidu, “Improvement of tensile and flexural properties in epoxy/clay nanocomposites reinforced with weave glass fiber reel,” International Journal of Polymeric Materials and Polymeric Biomaterials, vol. 59, no. 11, pp. 854–862, Nov. 2010, doi: 10.1080/00914037.2010.504144.</t>
  </si>
  <si>
    <t>A. Jumahat, W. W. Amir, C. Soutis, and S. Kasolang, “Flexural response of nanoclay-modified epoxy polymers,” Materials Research Innovations, vol. 18, pp. S6-280-S6-285, Dec. 2014, doi: 10.1179/1432891714Z.0000000001021.</t>
  </si>
  <si>
    <t>A. Jumahat, C. Soutis, J. Mahmud, and N. Ahmad, “Compressive properties of nanoclay/epoxy nanocomposites,” in Procedia Engineering, Elsevier Ltd, 2012, pp. 1607–1613. doi: 10.1016/j.proeng.2012.07.357.</t>
  </si>
  <si>
    <t>Compression Test</t>
  </si>
  <si>
    <t>A. Jumahat, C. Soutis, F. R. Jones, and A. Hodzic, “Compressive behaviour of nanoclay modified aerospace grade epoxy polymer,” Plastics, Rubber and Composites, vol. 41, no. 6, pp. 225–232, Jul. 2012, doi: 10.1179/1743289811Y.0000000028.</t>
  </si>
  <si>
    <t>Mixed (mostly intercalated)</t>
  </si>
  <si>
    <t>Mixed (intercalated/exfoliated)</t>
  </si>
  <si>
    <t>intercalated with agglomeration</t>
  </si>
  <si>
    <t>Mixed</t>
  </si>
  <si>
    <t>Impact Test</t>
  </si>
  <si>
    <t>M. Esteves, A. Ramalho, J. A. M. Ferreira, and J. P. Nobre, “Tribological and mechanical behaviour of epoxy/nanoclay composites,” Tribology Letters, vol. 52, no. 1, pp. 1–10, Oct. 2013, doi: 10.1007/s11249-013-0174-2.</t>
  </si>
  <si>
    <t>Intercalated</t>
  </si>
  <si>
    <t>Short Beam Shear Test</t>
  </si>
  <si>
    <t>M. Al-Qadhi, N. Merah, Z. M. Gasem, N. Abu-Dheir, and B. J. A. Aleem, “Effect of water and crude oil on mechanical and thermal properties of epoxy-clay nanocomposites,” Polymer Composites, vol. 35, no. 2, pp. 318–326, Feb. 2014, doi: 10.1002/pc.22664.</t>
  </si>
  <si>
    <t>Y. Ali, M. Al-Qadhi, N. Merah, and A. Rafiq, “Influence of degassing and nanoclay loading on physical and flexural properties of epoxy,” in Defect and Diffusion Forum, Trans Tech Publications Ltd, 2015, pp. 237–243. doi: 10.4028/www.scientific.net/DDF.365.237.</t>
  </si>
  <si>
    <t>T. K. Bindu Sharmila, E. P. Ayswarya, B. T. Abraham, P. M. Sabura Begum, and E. T. Thachil, “Fabrication of partially exfoliated and disordered intercalated cloisite epoxy nanocomposites via in situ polymerization: Mechanical, dynamic mechanical, thermal and barrier properties,” Applied Clay Science, vol. 102, pp. 220–230, Dec. 2014, doi: 10.1016/j.clay.2014.09.043.</t>
  </si>
  <si>
    <t>Partially exfoliated</t>
  </si>
  <si>
    <t>Partially exfoliated/disordered ntercalated</t>
  </si>
  <si>
    <t>S. B. Basturk and S. C. Erbas, “Mechanical and thermo-mechanical properties of nanoclay/epoxy composites: Synergistic effects of silanization and surfactant application,” Materials Research Express, vol. 5, no. 9, Sep. 2018, doi: 10.1088/2053-1591/aad60c.</t>
  </si>
  <si>
    <t>S. Zainuddin, M. v. Hosur, Y. Zhou, A. T. Narteh, A. Kumar, and S. Jeelani, “Experimental and numerical investigations on flexural and thermal properties of nanoclay-epoxy nanocomposites,” Materials Science and Engineering: A, vol. 527, no. 29–30, pp. 7920–7926, Nov. 2010, doi: 10.1016/j.msea.2010.08.078.</t>
  </si>
  <si>
    <t>H. Alamri and I. M. Low, “Effect of water absorption on the mechanical properties of nano-filler reinforced epoxy nanocomposites,” Materials and Design, vol. 42, pp. 214–222, Dec. 2012, doi: 10.1016/j.matdes.2012.05.060.</t>
  </si>
  <si>
    <t>M. L. Chan, K. T. Lau, T. T. Wong, M. P. Ho, and D. Hui, “Mechanism of reinforcement in a nanoclay/polymer composite,” Composites Part B: Engineering, vol. 42, no. 6, pp. 1708–1712, Sep. 2011, doi: 10.1016/j.compositesb.2011.03.011.</t>
  </si>
  <si>
    <t>Microcomposite</t>
  </si>
  <si>
    <t>A. Yasmin, J. J. Luo, J. L. Abot, and I. M. Daniel, “Mechanical and thermal behavior of clay/epoxy nanocomposites,” Composites Science and Technology, vol. 66, no. 14, pp. 2415–2422, Nov. 2006, doi: 10.1016/j.compscitech.2006.03.011.</t>
  </si>
  <si>
    <t>Exfoliated/Intercalated</t>
  </si>
  <si>
    <t>M. Silani, S. Ziaei-Rad, M. Esfahanian, and V. B. C. Tan, “On the experimental and numerical investigation of clay/epoxy nanocomposites,” Composite Structures, vol. 94, no. 11, pp. 3142–3148, Nov. 2012, doi: 10.1016/j.compstruct.2012.04.033.</t>
  </si>
  <si>
    <t>F. Zaïri, J. M. Gloaguen, M. Naït-Abdelaziz, A. Mesbah, and J. M. Lefebvre, “Study of the effect of size and clay structural parameters on the yield and post-yield response of polymer/clay nanocomposites via a multiscale micromechanical modelling,” Acta Materialia, vol. 59, no. 10, pp. 3851–3863, 2011, doi: 10.1016/j.actamat.2011.03.009.</t>
  </si>
  <si>
    <t>J. Zicans, R. Merijs Meri, M. Kalniņš, R. Maksimovs, and J. Jansons, “Modeling and experimental investigations of elastic and creep properties of thermoplastic polymer nanocomposites,” ZAMM Zeitschrift fur Angewandte Mathematik und Mechanik, vol. 95, no. 10, pp. 1198–1110, Oct. 2015, doi: 10.1002/zamm.201400288.</t>
  </si>
  <si>
    <t>R. Merijs Meri et al., “Elasticity and long-term behavior of recycled polyethylene terephthalate (rPET)/montmorillonite (MMT) composites,” Composite Structures, vol. 111, no. 1, pp. 453–458, May 2014, doi: 10.1016/J.COMPSTRUCT.2014.01.017.</t>
  </si>
  <si>
    <t>rPET</t>
  </si>
  <si>
    <t>intercalated/ partially exfoliated</t>
  </si>
  <si>
    <t>H. W. Wang, H. W. Ji, W. Q. Shao, and H. Miao, “Finite element modeling for particle-reinforced polymer composites for wind energy application,” in Advanced Materials Research, 2011, pp. 2177–2180. doi: 10.4028/www.scientific.net/AMR.189-193.2177.</t>
  </si>
  <si>
    <t>Exfoliated/intercalated</t>
  </si>
  <si>
    <t>Finite Element Method</t>
  </si>
  <si>
    <t>R. D. Maksimov and E. Plume, “ELASTIC PROPERTIES OF A POLYURETHANE/ MONTMORILLONITE NANOCOMPOSITE,” 2012.</t>
  </si>
  <si>
    <t>Exfoliated</t>
  </si>
  <si>
    <t>H. Ebadi-Dehaghani, H. A. Khonakdar, M. Barikani, and S. H. Jafari, “Experimental and theoretical analyses of mechanical properties of PP/PLA/clay nanocomposites,” Composites Part B: Engineering, vol. 69, pp. 133–144, 2015, doi: 10.1016/j.compositesb.2014.09.006.</t>
  </si>
  <si>
    <t>PP/PLA</t>
  </si>
  <si>
    <t>R. Mohsenzadeh, “Experimental studies on mechanical properties and toughening mechanisms of PA6/zeolite nanocomposites,” Proceedings of the Institution of Mechanical Engineers, Part C: Journal of Mechanical Engineering Science, vol. 235, no. 23, pp. 7233–7240, Dec. 2021, doi: 10.1177/09544062211005798.</t>
  </si>
  <si>
    <t>B. Zazoum, E. Triki, and A. Bachri, “Modeling of mechanical properties of clay-reinforced polymer nanocomposites using deep neural network,” Materials, vol. 13, no. 19, Oct. 2020, doi: 10.3390/MA13194266.</t>
  </si>
  <si>
    <t>LLDPE</t>
  </si>
  <si>
    <t>A. N. Wilkinson et al., “Tensile properties of melt intercalated polyamide 6 - Montmorillonite nanocomposites,” Composites Science and Technology, vol. 67, no. 15–16, pp. 3360–3368, Dec. 2007, doi: 10.1016/j.compscitech.2007.03.024.</t>
  </si>
  <si>
    <t>M. Jamsheed, F. M. Rashid, and R. Velmurugan, “An experimental investigation on the effect of montmorillonite nanoclay on the mechanical properties of Ti6Al4V titanium-based carbon fiber/epoxy laminates,” Polymer Composites, 2025, doi: 10.1002/pc.29745.</t>
  </si>
  <si>
    <t>G. Ravichandran, G. Rathnakar, N. Santhosh, R. Chennakeshava, and M. A. Hashmi, “Enhancement of mechanical properties of epoxy/halloysite nanotube (HNT) nanocomposites,” SN Applied Sciences, vol. 1, no. 4, Apr. 2019, doi: 10.1007/s42452-019-0323-9.</t>
  </si>
  <si>
    <t>S. Ghafarloo and M. Kokabi, “Mechanical properties of epoxy clay nanocomposites,” in Advanced Materials Research, 2010, pp. 145–148. doi: 10.4028/www.scientific.net/AMR.123-125.145.</t>
  </si>
  <si>
    <t>intercalated/agglomerated</t>
  </si>
  <si>
    <t>A. Ebrahimi Jahromi, H. R. Ebrahimi Jahromi, F. Hemmati, M. R. Saeb, V. Goodarzi, and K. Formela, “Morphology and mechanical properties of polyamide/clay nanocomposites toughened with NBR/NBR-g-GMA: A comparative study,” Composites Part B: Engineering, vol. 90, pp. 478–484, Apr. 2016, doi: 10.1016/j.compositesb.2015.12.042.</t>
  </si>
  <si>
    <t>P. M. Gyoo, S. Venkataramani, and S. C. Kim, “Morphology, thermal, and mechanical properties of polyamide 66/clay nanocomposites with epoxy-modified organoclay,” Journal of Applied Polymer Science, vol. 101, no. 3, pp. 1711–1722, Aug. 2006, doi: 10.1002/app.23339.</t>
  </si>
  <si>
    <t>Nylon66</t>
  </si>
  <si>
    <t>R. Aradhya and N. M. Renukappa, “Mechanical and Tribological Properties of Epoxy Nano Composites for High Voltage Applications,” in Nanorods and Nanocomposites, IntechOpen, 2020. doi: 10.5772/intechopen.88236.</t>
  </si>
  <si>
    <t>Vinyl Ester</t>
  </si>
  <si>
    <t>J. Stojšic, P. Raos, and A. Kalendova, “A study of structure and tensile properties of polyamide 12/clay nanocomposites,” Polymer Composites, vol. 37, no. 3, pp. 684–691, Mar. 2016, doi: 10.1002/pc.23225.</t>
  </si>
  <si>
    <t>PA12</t>
  </si>
  <si>
    <t>M. H. Gabr and K. Uzawa, “Mechanical, thermal, and interfacial shear properties of polyamide/nanoclay nanocomposites: Study the effect of nanoclay on the micromechanism of fracture,” Journal of Thermoplastic Composite Materials, vol. 31, no. 4, pp. 447–464, Apr. 2018, doi: 10.1177/0892705717705692.</t>
  </si>
  <si>
    <t>R. C. Voicu et al., “Prediction of Mechanical Properties of Nano-Clay-Based Biopolymeric Composites,” Nanomaterials, vol. 14, no. 17, Sep. 2024, doi: 10.3390/nano14171403.</t>
  </si>
  <si>
    <t>BIOPA11</t>
  </si>
  <si>
    <t>FEM (COMSOL)</t>
  </si>
  <si>
    <t>L. Su, C. Fang, and H. Luo, “Functionalized montmorillonite/epoxy resin nanocomposites with enhanced thermal and mechanical properties,” RSC Advances, vol. 14, no. 42, pp. 31251–31258, Oct. 2024, doi: 10.1039/d4ra03125c.</t>
  </si>
  <si>
    <t>E. Manias, A. Touny, L. Wu, K. Strawhecker, B. Lu, and T. C. Chung, “Polypropylene/montmorillonite nanocomposites. Review of the synthetic routes and materials properties,” Chemistry of Materials, vol. 13, no. 10. pp. 3516–3523, 2001. doi: 10.1021/cm0110627.</t>
  </si>
  <si>
    <t>A. A. Azeez, K. Y. Rhee, S. J. Park, and D. Hui, “Epoxy clay nanocomposites - Processing, properties and applications: A review,” Composites Part B: Engineering, vol. 45, no. 1, pp. 308–320, 2013, doi: 10.1016/j.compositesb.2012.04.012.</t>
  </si>
  <si>
    <t>A. Nordin, R. Baosheng, J. Noda, and K. Goda, “Effect of Nanoclay Loading on Mechanical Properties of Nanocomposites.”</t>
  </si>
  <si>
    <t>E. Esmizadeh, G. Naderi, S. Arezoomand, and S. Mazinani, “Fabrication and characterization properties of polypropylene/polycarbonate/clay nanocomposites prepared with twin-screw extruder,” Science and Engineering of Composite Materials, vol. 25, no. 1, pp. 31–39, Jan. 2018, doi: 10.1515/secm-2015-0406.</t>
  </si>
  <si>
    <t>PP/PC</t>
  </si>
  <si>
    <t>M. R. Nakhaei, A. Mostafapour, and G. Naderi, “Optimization of mechanical properties of PP/EPDM/ clay nanocomposite fabricated by friction stir processing with response surface methodology and neural networks,” Polymer Composites, vol. 38, pp. E421–E432, Sep. 2017, doi: 10.1002/pc.23942.</t>
  </si>
  <si>
    <t>PP/EPDM</t>
  </si>
  <si>
    <t>J. Huang, M. Uhrig, U. Weber, and S. Schmauder, “Numerical Simulation of Mechanical Properties of Nano Particle Modified Polyamide 6 via RVE Modeling,” Journal of Materials Science and Chemical Engineering, vol. 03, no. 01, pp. 95–102, 2015, doi: 10.4236/msce.2015.31014.</t>
  </si>
  <si>
    <t>J.-I. Weon, “Mechanical and Thermal Behavior of Polyamide-6/Clay Nanocomposite Using Continuum-based Micromechanical Modeling,” 2009.</t>
  </si>
  <si>
    <t>E. Amendola, “Epoxy Nanocomposites Based on Silylated Montmorillonite: Effect of the Coupling Agents Structure on the Mechanical Properties,” The Open Macromolecules Journal, vol. 6, no. 1, pp. 33–36, May 2012, doi: 10.2174/1874343901206010033.</t>
  </si>
  <si>
    <t>S. Bayar, F. Delale, and B. M. Liaw, “EFFECT OF TEMPERATURE ON MECHANICAL PROPERTIES OF NANOCLAY REINFORCED POLYMERIC NANOCOMPOSITES-PART I: EXPERIMENTAL RESULTS* by.”</t>
  </si>
  <si>
    <t>EPON 828</t>
  </si>
  <si>
    <t>M. Moghri, H. Shamaee, H. Shahrajabian, and A. Ghannadzadeh, “The effect of different parameters on mechanical properties of PA-6/clay nanocomposite through genetic algorithm and response surface methods,” International Nano Letters, vol. 5, no. 3, pp. 133–140, Sep. 2015, doi: 10.1007/s40089-015-0146-7.</t>
  </si>
  <si>
    <t>X. Liu, Q. Wu, L. A. Berglund, J. Fan, and Z. Qi, “Polyamide 6-clay nanocomposites/polypropylene-grafted-maleic anhydride alloys.” [Online]. Available: www.elsevier.nl/locate/polymer</t>
  </si>
  <si>
    <t>M. Quaresimin, M. Salviato, and M. Zappalorto, “Fracture and interlaminar properties of clay-modified epoxies and their glass reinforced laminates,” Engineering Fracture Mechanics, vol. 81, pp. 80–93, Feb. 2012, doi: 10.1016/j.engfracmech.2011.10.004.</t>
  </si>
  <si>
    <t>H. U. Zaman, P. D. Hun, R. A. Khan, and K. B. Yoon, “Polypropylene/clay nanocomposites: Effect of compatibilizers on the morphology, mechanical properties and crystallization behaviors,” Journal of Thermoplastic Composite Materials, vol. 27, no. 3, pp. 338–349, Mar. 2014, doi: 10.1177/0892705712446017.</t>
  </si>
  <si>
    <t>M. A. Pérez, B. L. Rivas, M. Rodríguez, Á. Maldonado, and C. Venegas, “PolyProPylene/clay nanocomPosites. synthesis and characterization,” 2010.</t>
  </si>
  <si>
    <t>PPH1</t>
  </si>
  <si>
    <t>PPH1/PP</t>
  </si>
  <si>
    <t>PPH2</t>
  </si>
  <si>
    <t>PPH2/PP</t>
  </si>
  <si>
    <t>PPH3</t>
  </si>
  <si>
    <t>PPH3/PP</t>
  </si>
  <si>
    <t>PPH4</t>
  </si>
  <si>
    <t>PPH4/PP</t>
  </si>
  <si>
    <t>I. M. Daniel, H. Miyagawa, E. E. Gdoutos, and J. J. Luo, “Processing and Characterization of Epoxy/Clay Nanocomposites.”</t>
  </si>
  <si>
    <t>J. Stojšić, P. Raos, A. Milinović, and D. Damjanović, “A Study of the Flexural Properties of PA12/Clay Nanocomposites,” Polymers, vol. 14, no. 3, Feb. 2022, doi: 10.3390/polym14030434.</t>
  </si>
  <si>
    <t>E. Naveau et al., “Effect of clay modification on the structure and mechanical properties of polyamide-6 nanocomposites,” European Polymer Journal, vol. 47, no. 1, pp. 5–15, Jan. 2011, doi: 10.1016/j.eurpolymj.2010.10.031.</t>
  </si>
  <si>
    <t>C. Jo and H. E. Naguib, “Processing, characterization, and modeling of polymer/clay nanocomposite foams,” Journal of Physics: Conference Series, vol. 61, no. 1, pp. 861–868, Apr. 2007, doi: 10.1088/1742-6596/61/1/172.</t>
  </si>
  <si>
    <t>L. B. Manfredi, H. de Santis, and A. Vázquez, “Influence of the addition of montmorillonite to the matrix of unidirectional glass fibre/epoxy composites on their mechanical and water absorption properties,” Composites Part A: Applied Science and Manufacturing, vol. 39, no. 11, pp. 1726–1731, Nov. 2008, doi: 10.1016/j.compositesa.2008.07.016.</t>
  </si>
  <si>
    <t>M. Dua and P. Mertiny, “COMPARISON OF THE ELASTIC MODULUS OF ELASTOMER CLAY NANOCOMPOSITES PREDICTED BY VARIOUS MECHANICAL MODELS,” 2021.</t>
  </si>
  <si>
    <t>CNBR</t>
  </si>
  <si>
    <t>“Polyamide-6/Clay Nanocomposites: A Critical Review.”</t>
  </si>
  <si>
    <t>S. Sinha Ray and M. Okamoto, “Polymer/layered silicate nanocomposites: A review from preparation to processing,” Progress in Polymer Science (Oxford), vol. 28, no. 11. pp. 1539–1641, Nov. 2003. doi: 10.1016/j.progpolymsci.2003.08.002.</t>
  </si>
  <si>
    <t>“Effect of Nanoclay on Quasi Static Perforation of Thin Polymer Composites Laminates.”</t>
  </si>
  <si>
    <t>M. Chinnapandi, A. P. Sharma, B. Ashok Kumar Reddy, and R. Velmurugan, “Mechanical and thermal properties of glass fiber reinforced polymer-clay nanocomposites,” in Journal of Physics: Conference Series, Institute of Physics, 2024. doi: 10.1088/1742-6596/2817/1/012020.</t>
  </si>
  <si>
    <t>A. P. Sharma, M. Purusothaman, T. P. Mohan, K. Kanny, and R. Velmurugan, “Mechanical behavior of GFRP-Polymer sandwich composites with montmorillonite nanoclay,” in Journal of Physics: Conference Series, Institute of Physics, 2024. doi: 10.1088/1742-6596/2817/1/012017.</t>
  </si>
  <si>
    <t>M. Akbarzadeh et al., “Machine learning-driven optimization and prediction of poly(lactic acid)/poly(butylene-adipate-co-terephthalate)/clay blend nanocomposites in structure–property relationships: A combination of experimental and computational techniques,” Polymer Engineering and Science, Mar. 2024, doi: 10.1002/pen.27054.</t>
  </si>
  <si>
    <t>PLA/PBAT</t>
  </si>
  <si>
    <t xml:space="preserve">L. Shen, W. C. Tjiu, and T. Liu, “Nanoindentation and morphological studies on injection-molded nylon-6 nanocomposites,” Polymer, vol. 46, no. 25, pp. 11969–11977, Nov. 2005, doi: 10.1016/j.polymer.2005.10.006.
  </t>
  </si>
  <si>
    <t xml:space="preserve">J. W. Cho and D. R. Paul, “Nylon 6 nanocomposites by melt compounding.” [Online]. Available: www.elsevier.nl/locate/polymer
  </t>
  </si>
  <si>
    <t xml:space="preserve">A. Ranade, N. A. D’Souza, B. Gnade, and A. Dharia, “Nylon-6 and Montmorillonite-Layered Silicate (MLS) nanocomposites,” Journal of Plastic Film and Sheeting, vol. 19, no. 4, pp. 271–285, Oct. 2003, doi: 10.1177/8756087903042810.
  </t>
  </si>
  <si>
    <t xml:space="preserve">T. V. González, C. G. Salazar, J. R. de La Rosa, and V. González, “Nylon 6/organoclay nanocomposites by extrusion,” Journal of Applied Polymer Science, vol. 108, no. 5, pp. 2923–2933, Jun. 2008, doi: 10.1002/app.27307.
  </t>
  </si>
  <si>
    <t xml:space="preserve">T. D. Fornes, P. J. Yoon, H. Keskkula, and D. R. Paul, “Nylon 6 nanocomposites: the effect of matrix molecular weight.” [Online]. Available: www.elsevier.com/locate/polymer
  </t>
  </si>
  <si>
    <t xml:space="preserve">S. Xie, S. Zhang, B. Zhao, H. Qin, F. Wang, and M. Yang, “Tensile fracture morphologies of nylon-6/montmorillonite nanocomposites,” Polymer International, vol. 54, no. 12, pp. 1673–1680, Nov. 2005, doi: 10.1002/pi.1901.
  </t>
  </si>
  <si>
    <t xml:space="preserve">M. Al-Qadhi and N. Merah, “Mechanical and physical properties of polymer-based nanocomposites containing different types of clay,” Polymer Composites, vol. 36, no. 11, pp. 1998–2007, Nov. 2015, doi: 10.1002/pc.23109.
  </t>
  </si>
  <si>
    <t xml:space="preserve">X. Jia et al., “Highly moisture-resistant epoxy composites: An approach based on liquid nano-reinforcement containing well-dispersed activated montmorillonite,” RSC Advances, vol. 5, no. 56, pp. 44853–44864, 2015, doi: 10.1039/c5ra06397c.
</t>
  </si>
  <si>
    <t>DGEAC</t>
  </si>
  <si>
    <t>Wang K, Wang L, Wu J, Chen L, He C. Preparation of highly exfoliated epoxy/clay nanocomposites by slurry compounding: process and mechanisms. Langmuir 2005;21:3613–8.</t>
  </si>
  <si>
    <t>Kornmann X, Berglund LA, Sterte J. Nanocomposites based on Montmorillonite and unsaturated polyester. Polym Eng Sci 1998;38:1351–8.</t>
  </si>
  <si>
    <t xml:space="preserve">P. I. Xidas and K. S. Triantafyllidis, “Effect of the type of alkylammonium ion clay modifier on the structure and thermal/mechanical properties of glassy and rubbery epoxy-clay nanocomposites,” European Polymer Journal, vol. 46, no. 3, pp. 404–417, Mar. 2010, doi: 10.1016/j.eurpolymj.2009.11.004.
  </t>
  </si>
  <si>
    <t>Luo JJ, Daniel IM. Characterization and modeling of mechanical behavior of polymer/clay nanocomposites. Compos Sci Technol 2003;63 :1607–16.</t>
  </si>
  <si>
    <t>Wang, K.; Ahzi, S.; Boumbimba, R.M.; Bahlouli, N.; Addiego, F.; Remond, Y. Micromechanical modeling of the elastic behavior of polypropylene based organoclay nanocomposites under a wide range of temperatures and strain rates/frequencies. Mech. Mater. 2013, 64, 56–68.</t>
  </si>
  <si>
    <t>Split Hopkinson Pressure Bar</t>
  </si>
  <si>
    <t>Wetzel B, Rosso P, Haupert F, Friedrich K. Epoxy nanocomposites – fracture</t>
  </si>
  <si>
    <t>and toughening mechanisms. Eng Fract Mech 2006;73:2375–98.</t>
  </si>
  <si>
    <t>T. Fornes, D. Hunter, and D. Paul, Effect of sodium montmor- illonite source on nylon 6/clay nanocomposites, Polymer, vol. 45, no. 7, pp. 2321–2331, 2004. DOI: 10.1016/j.polymer.2004.01. 061.</t>
  </si>
  <si>
    <t>T. D. Fornes, D. L. Hunter, D. R. Paul, Macromolecules 2004, 37, 1793 – 1798.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</si>
</sst>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scheme val="minor"/>
    </font>
    <font>
      <b/>
      <sz val="11"/>
      <color theme="1"/>
      <name val="Calibri"/>
      <family val="2"/>
    </font>
    <font>
      <sz val="11"/>
      <color theme="1"/>
      <name val="Calibri"/>
      <family val="2"/>
    </font>
    <font>
      <sz val="11"/>
      <name val="Calibri"/>
      <family val="2"/>
    </font>
    <font>
      <sz val="8"/>
      <name val="Calibri"/>
      <family val="2"/>
      <scheme val="minor"/>
    </font>
    <font>
      <sz val="11"/>
      <color rgb="FF000000"/>
      <name val="Calibri"/>
      <family val="2"/>
      <scheme val="minor"/>
    </font>
  </fonts>
  <fills count="11">
    <fill>
      <patternFill patternType="none"/>
    </fill>
    <fill>
      <patternFill patternType="gray125"/>
    </fill>
    <fill>
      <patternFill patternType="solid">
        <fgColor rgb="FFFFFF00"/>
        <bgColor rgb="FFFFFF00"/>
      </patternFill>
    </fill>
    <fill>
      <patternFill patternType="solid">
        <fgColor rgb="FFFFC000"/>
        <bgColor rgb="FFFFC000"/>
      </patternFill>
    </fill>
    <fill>
      <patternFill patternType="solid">
        <fgColor rgb="FF92D050"/>
        <bgColor rgb="FF92D050"/>
      </patternFill>
    </fill>
    <fill>
      <patternFill patternType="solid">
        <fgColor rgb="FFFFFF00"/>
        <bgColor indexed="64"/>
      </patternFill>
    </fill>
    <fill>
      <patternFill patternType="solid">
        <fgColor theme="0"/>
        <bgColor indexed="64"/>
      </patternFill>
    </fill>
    <fill>
      <patternFill patternType="solid">
        <fgColor rgb="FF92D050"/>
        <bgColor rgb="FFFFFF00"/>
      </patternFill>
    </fill>
    <fill>
      <patternFill patternType="solid">
        <fgColor rgb="FF92D050"/>
        <bgColor indexed="64"/>
      </patternFill>
    </fill>
    <fill>
      <patternFill patternType="solid">
        <fgColor theme="9"/>
        <bgColor rgb="FFFFFF00"/>
      </patternFill>
    </fill>
    <fill>
      <patternFill patternType="solid">
        <fgColor theme="9"/>
        <bgColor indexed="64"/>
      </patternFill>
    </fill>
  </fills>
  <borders count="13">
    <border>
      <left/>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medium">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s>
  <cellStyleXfs count="1">
    <xf numFmtId="0" fontId="0" fillId="0" borderId="0"/>
  </cellStyleXfs>
  <cellXfs count="60">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wrapText="1"/>
    </xf>
    <xf numFmtId="0" fontId="1" fillId="2" borderId="2" xfId="0" applyFont="1" applyFill="1" applyBorder="1" applyAlignment="1">
      <alignment horizontal="center" vertical="center"/>
    </xf>
    <xf numFmtId="0" fontId="1" fillId="3" borderId="2"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3" borderId="4" xfId="0" applyFont="1" applyFill="1" applyBorder="1" applyAlignment="1">
      <alignment horizontal="center" vertical="center"/>
    </xf>
    <xf numFmtId="0" fontId="2" fillId="2" borderId="4" xfId="0" applyFont="1" applyFill="1" applyBorder="1" applyAlignment="1">
      <alignment horizontal="center"/>
    </xf>
    <xf numFmtId="0" fontId="2" fillId="4" borderId="4" xfId="0" applyFont="1" applyFill="1" applyBorder="1" applyAlignment="1">
      <alignment horizontal="center"/>
    </xf>
    <xf numFmtId="0" fontId="2" fillId="4" borderId="6" xfId="0" applyFont="1" applyFill="1" applyBorder="1" applyAlignment="1">
      <alignment horizontal="center"/>
    </xf>
    <xf numFmtId="0" fontId="2" fillId="3" borderId="4" xfId="0" applyFont="1" applyFill="1" applyBorder="1" applyAlignment="1">
      <alignment horizontal="center"/>
    </xf>
    <xf numFmtId="0" fontId="2" fillId="2" borderId="4" xfId="0" applyFont="1" applyFill="1" applyBorder="1" applyAlignment="1">
      <alignment horizontal="center" vertical="center"/>
    </xf>
    <xf numFmtId="0" fontId="2" fillId="4" borderId="4" xfId="0" applyFont="1" applyFill="1" applyBorder="1" applyAlignment="1">
      <alignment horizontal="center" vertical="center"/>
    </xf>
    <xf numFmtId="0" fontId="2" fillId="4" borderId="6" xfId="0" applyFont="1" applyFill="1" applyBorder="1" applyAlignment="1">
      <alignment horizontal="center" vertical="center"/>
    </xf>
    <xf numFmtId="0" fontId="2" fillId="3" borderId="4" xfId="0" applyFont="1" applyFill="1" applyBorder="1" applyAlignment="1">
      <alignment horizontal="center" vertical="center"/>
    </xf>
    <xf numFmtId="0" fontId="2" fillId="2" borderId="8" xfId="0" applyFont="1" applyFill="1" applyBorder="1" applyAlignment="1">
      <alignment horizontal="center" vertical="center"/>
    </xf>
    <xf numFmtId="0" fontId="2" fillId="3" borderId="8"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1" fillId="3" borderId="5" xfId="0" applyFont="1" applyFill="1" applyBorder="1" applyAlignment="1">
      <alignment horizontal="center" vertical="center" wrapText="1"/>
    </xf>
    <xf numFmtId="0" fontId="2" fillId="3" borderId="10" xfId="0" applyFont="1" applyFill="1" applyBorder="1" applyAlignment="1">
      <alignment horizontal="center" vertical="center"/>
    </xf>
    <xf numFmtId="0" fontId="2" fillId="2" borderId="4" xfId="0" applyFont="1" applyFill="1" applyBorder="1" applyAlignment="1">
      <alignment horizontal="center" vertical="center" wrapText="1"/>
    </xf>
    <xf numFmtId="0" fontId="2" fillId="2" borderId="8" xfId="0" applyFont="1" applyFill="1" applyBorder="1" applyAlignment="1">
      <alignment horizontal="center" wrapText="1"/>
    </xf>
    <xf numFmtId="0" fontId="2" fillId="2" borderId="6" xfId="0" applyFont="1" applyFill="1" applyBorder="1" applyAlignment="1">
      <alignment horizontal="center"/>
    </xf>
    <xf numFmtId="0" fontId="2" fillId="3" borderId="8" xfId="0" applyFont="1" applyFill="1" applyBorder="1" applyAlignment="1">
      <alignment horizontal="center" vertical="center" wrapText="1"/>
    </xf>
    <xf numFmtId="0" fontId="2" fillId="2" borderId="11" xfId="0" applyFont="1" applyFill="1" applyBorder="1" applyAlignment="1">
      <alignment horizontal="center"/>
    </xf>
    <xf numFmtId="0" fontId="2" fillId="2" borderId="11" xfId="0" applyFont="1" applyFill="1" applyBorder="1" applyAlignment="1">
      <alignment horizontal="center" vertical="center"/>
    </xf>
    <xf numFmtId="0" fontId="2" fillId="3" borderId="11" xfId="0" applyFont="1" applyFill="1" applyBorder="1" applyAlignment="1">
      <alignment horizontal="center" vertical="center"/>
    </xf>
    <xf numFmtId="0" fontId="2" fillId="4" borderId="11" xfId="0" applyFont="1" applyFill="1" applyBorder="1" applyAlignment="1">
      <alignment horizontal="center"/>
    </xf>
    <xf numFmtId="0" fontId="2" fillId="4" borderId="12" xfId="0" applyFont="1" applyFill="1" applyBorder="1" applyAlignment="1">
      <alignment horizontal="center"/>
    </xf>
    <xf numFmtId="0" fontId="2" fillId="3" borderId="11" xfId="0" applyFont="1" applyFill="1" applyBorder="1" applyAlignment="1">
      <alignment horizontal="center"/>
    </xf>
    <xf numFmtId="0" fontId="0" fillId="0" borderId="0" xfId="0" applyAlignment="1">
      <alignment horizontal="center"/>
    </xf>
    <xf numFmtId="0" fontId="2" fillId="3" borderId="6" xfId="0" applyFont="1" applyFill="1" applyBorder="1" applyAlignment="1">
      <alignment horizontal="center"/>
    </xf>
    <xf numFmtId="0" fontId="2" fillId="3" borderId="6" xfId="0" applyFont="1" applyFill="1" applyBorder="1" applyAlignment="1">
      <alignment horizontal="center" vertical="center"/>
    </xf>
    <xf numFmtId="0" fontId="1" fillId="3" borderId="6" xfId="0" applyFont="1" applyFill="1" applyBorder="1" applyAlignment="1">
      <alignment horizontal="center"/>
    </xf>
    <xf numFmtId="0" fontId="1" fillId="2" borderId="5" xfId="0" applyFont="1" applyFill="1" applyBorder="1" applyAlignment="1">
      <alignment horizontal="center" vertical="center" wrapText="1"/>
    </xf>
    <xf numFmtId="0" fontId="0" fillId="5" borderId="10" xfId="0" applyFill="1" applyBorder="1" applyAlignment="1">
      <alignment horizontal="center" vertical="center"/>
    </xf>
    <xf numFmtId="0" fontId="0" fillId="6" borderId="0" xfId="0" applyFill="1" applyAlignment="1">
      <alignment horizontal="center" vertical="center"/>
    </xf>
    <xf numFmtId="0" fontId="1" fillId="7" borderId="5" xfId="0" applyFont="1" applyFill="1" applyBorder="1" applyAlignment="1">
      <alignment horizontal="center" vertical="center" wrapText="1"/>
    </xf>
    <xf numFmtId="0" fontId="1" fillId="9" borderId="5" xfId="0" applyFont="1" applyFill="1" applyBorder="1" applyAlignment="1">
      <alignment horizontal="center" vertical="center" wrapText="1"/>
    </xf>
    <xf numFmtId="0" fontId="0" fillId="8" borderId="10" xfId="0" applyFill="1" applyBorder="1" applyAlignment="1">
      <alignment horizontal="center"/>
    </xf>
    <xf numFmtId="0" fontId="0" fillId="8" borderId="10" xfId="0" applyFill="1" applyBorder="1" applyAlignment="1">
      <alignment horizontal="center" vertical="center"/>
    </xf>
    <xf numFmtId="0" fontId="0" fillId="10" borderId="10" xfId="0" applyFill="1" applyBorder="1" applyAlignment="1">
      <alignment horizontal="center"/>
    </xf>
    <xf numFmtId="0" fontId="5" fillId="2" borderId="4" xfId="0" applyFont="1" applyFill="1" applyBorder="1" applyAlignment="1">
      <alignment horizontal="center" vertical="center"/>
    </xf>
    <xf numFmtId="0" fontId="2" fillId="2" borderId="8" xfId="0" applyFont="1" applyFill="1" applyBorder="1" applyAlignment="1">
      <alignment horizontal="center" wrapText="1"/>
    </xf>
    <xf numFmtId="0" fontId="2" fillId="2" borderId="9" xfId="0" applyFont="1" applyFill="1" applyBorder="1" applyAlignment="1">
      <alignment horizontal="center" wrapText="1"/>
    </xf>
    <xf numFmtId="0" fontId="2" fillId="2" borderId="7" xfId="0" applyFont="1" applyFill="1" applyBorder="1" applyAlignment="1">
      <alignment horizontal="center" wrapText="1"/>
    </xf>
    <xf numFmtId="0" fontId="2" fillId="2" borderId="8" xfId="0" applyFont="1" applyFill="1" applyBorder="1" applyAlignment="1">
      <alignment horizontal="center" vertical="center" wrapText="1"/>
    </xf>
    <xf numFmtId="0" fontId="3" fillId="0" borderId="9" xfId="0" applyFont="1" applyBorder="1"/>
    <xf numFmtId="0" fontId="3" fillId="0" borderId="7" xfId="0" applyFont="1" applyBorder="1"/>
    <xf numFmtId="0" fontId="2" fillId="2" borderId="8" xfId="0" applyFont="1" applyFill="1" applyBorder="1" applyAlignment="1">
      <alignment horizontal="center" vertical="top" wrapText="1"/>
    </xf>
    <xf numFmtId="0" fontId="3" fillId="0" borderId="9" xfId="0" applyFont="1" applyBorder="1" applyAlignment="1">
      <alignment horizontal="center" vertical="top"/>
    </xf>
    <xf numFmtId="0" fontId="3" fillId="0" borderId="7" xfId="0" applyFont="1" applyBorder="1" applyAlignment="1">
      <alignment horizontal="center" vertical="top"/>
    </xf>
    <xf numFmtId="0" fontId="2" fillId="2" borderId="9" xfId="0" applyFont="1" applyFill="1" applyBorder="1" applyAlignment="1">
      <alignment horizontal="center" vertical="center" wrapText="1"/>
    </xf>
    <xf numFmtId="0" fontId="3" fillId="0" borderId="9" xfId="0" applyFont="1" applyBorder="1" applyAlignment="1">
      <alignment vertical="center"/>
    </xf>
    <xf numFmtId="0" fontId="3" fillId="0" borderId="7" xfId="0" applyFont="1" applyBorder="1" applyAlignment="1">
      <alignment vertical="center"/>
    </xf>
    <xf numFmtId="0" fontId="3" fillId="5" borderId="9" xfId="0" applyFont="1" applyFill="1" applyBorder="1"/>
    <xf numFmtId="0" fontId="3" fillId="5" borderId="7" xfId="0" applyFont="1" applyFill="1" applyBorder="1"/>
    <xf numFmtId="0" fontId="2" fillId="2"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10" Type="http://schemas.openxmlformats.org/officeDocument/2006/relationships/calcChain" Target="calcChain.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43"/>
  <sheetViews>
    <sheetView tabSelected="1" topLeftCell="F1" zoomScale="84" zoomScaleNormal="100" workbookViewId="0">
      <pane ySplit="1" topLeftCell="A2" activePane="bottomLeft" state="frozen"/>
      <selection pane="bottomLeft" activeCell="Q379" sqref="Q379"/>
    </sheetView>
  </sheetViews>
  <sheetFormatPr baseColWidth="10" defaultColWidth="14.5" defaultRowHeight="15" customHeight="1"/>
  <cols>
    <col min="1" max="1" width="20.6640625" customWidth="1"/>
    <col min="2" max="2" width="14" customWidth="1"/>
    <col min="4" max="4" width="32.5" customWidth="1"/>
    <col min="5" max="5" width="72.6640625" customWidth="1"/>
    <col min="6" max="6" width="33.1640625" customWidth="1"/>
    <col min="7" max="7" width="33.83203125" bestFit="1" customWidth="1"/>
    <col min="8" max="8" width="21.6640625" customWidth="1"/>
    <col min="9" max="9" width="63.1640625" customWidth="1"/>
    <col min="10" max="10" width="14.83203125" customWidth="1"/>
    <col min="11" max="11" width="15.1640625" customWidth="1"/>
    <col min="12" max="12" width="15" customWidth="1"/>
    <col min="13" max="13" width="14.6640625" customWidth="1"/>
    <col min="14" max="14" width="15.1640625" customWidth="1"/>
    <col min="15" max="15" width="13" customWidth="1"/>
    <col min="16" max="16" width="29.5" customWidth="1"/>
    <col min="17" max="17" width="29.83203125" customWidth="1"/>
    <col min="18" max="18" width="29.6640625" customWidth="1"/>
    <col min="19" max="19" width="16.33203125" style="38" customWidth="1"/>
    <col min="20" max="21" width="16.33203125" customWidth="1"/>
    <col min="22" max="22" width="16" style="32" customWidth="1"/>
    <col min="23" max="23" width="16" customWidth="1"/>
    <col min="24" max="24" width="16.1640625" style="32" customWidth="1"/>
  </cols>
  <sheetData>
    <row r="1" spans="1:24" ht="45" customHeight="1" thickBot="1">
      <c r="A1" s="1" t="s">
        <v>0</v>
      </c>
      <c r="B1" s="2" t="s">
        <v>1</v>
      </c>
      <c r="C1" s="2" t="s">
        <v>2</v>
      </c>
      <c r="D1" s="2" t="s">
        <v>3</v>
      </c>
      <c r="E1" s="3" t="s">
        <v>4</v>
      </c>
      <c r="F1" s="20" t="s">
        <v>5</v>
      </c>
      <c r="G1" s="4" t="s">
        <v>6</v>
      </c>
      <c r="H1" s="4" t="s">
        <v>7</v>
      </c>
      <c r="I1" s="4" t="s">
        <v>8</v>
      </c>
      <c r="J1" s="2" t="s">
        <v>9</v>
      </c>
      <c r="K1" s="2" t="s">
        <v>10</v>
      </c>
      <c r="L1" s="2" t="s">
        <v>11</v>
      </c>
      <c r="M1" s="5" t="s">
        <v>12</v>
      </c>
      <c r="N1" s="5" t="s">
        <v>13</v>
      </c>
      <c r="O1" s="6" t="s">
        <v>14</v>
      </c>
      <c r="P1" s="7" t="s">
        <v>15</v>
      </c>
      <c r="Q1" s="7" t="s">
        <v>16</v>
      </c>
      <c r="R1" s="7" t="s">
        <v>17</v>
      </c>
      <c r="S1" s="36" t="s">
        <v>18</v>
      </c>
      <c r="T1" s="36" t="s">
        <v>19</v>
      </c>
      <c r="U1" s="39" t="s">
        <v>20</v>
      </c>
      <c r="V1" s="39" t="s">
        <v>21</v>
      </c>
      <c r="W1" s="40" t="s">
        <v>22</v>
      </c>
      <c r="X1" s="40" t="s">
        <v>23</v>
      </c>
    </row>
    <row r="2" spans="1:24" ht="14.25" customHeight="1">
      <c r="A2" s="59" t="s">
        <v>24</v>
      </c>
      <c r="B2" s="8">
        <v>0.5</v>
      </c>
      <c r="C2" s="8">
        <f t="shared" ref="C2:C69" si="0">B2/2</f>
        <v>0.25</v>
      </c>
      <c r="D2" s="19" t="s">
        <v>25</v>
      </c>
      <c r="E2" s="19" t="s">
        <v>26</v>
      </c>
      <c r="F2" s="21" t="s">
        <v>27</v>
      </c>
      <c r="G2" s="21" t="s">
        <v>28</v>
      </c>
      <c r="H2" s="21" t="s">
        <v>29</v>
      </c>
      <c r="I2" s="21" t="s">
        <v>30</v>
      </c>
      <c r="J2" s="8">
        <v>3.9</v>
      </c>
      <c r="K2" s="8">
        <v>8</v>
      </c>
      <c r="L2" s="8">
        <f>(K2-J2)/J2*100</f>
        <v>105.12820512820514</v>
      </c>
      <c r="M2" s="9">
        <v>69.599999999999994</v>
      </c>
      <c r="N2" s="9">
        <v>184.4</v>
      </c>
      <c r="O2" s="10">
        <f t="shared" ref="O2:O31" si="1">(N2-M2)/M2*100</f>
        <v>164.94252873563221</v>
      </c>
      <c r="P2" s="11" t="s">
        <v>31</v>
      </c>
      <c r="Q2" s="11" t="s">
        <v>31</v>
      </c>
      <c r="R2" s="33" t="s">
        <v>31</v>
      </c>
      <c r="S2" s="37">
        <f>LOG10(J2*10)</f>
        <v>1.5910646070264991</v>
      </c>
      <c r="T2" s="37">
        <f>LOG10(L2*10)</f>
        <v>3.0217192496932364</v>
      </c>
      <c r="U2" s="42">
        <f>LOG10(M2*10)</f>
        <v>2.842609239610562</v>
      </c>
      <c r="V2" s="41">
        <f>LOG10(O2*10)</f>
        <v>3.2173326484513929</v>
      </c>
      <c r="W2" s="43" t="e">
        <f>LOG10(P2*10)</f>
        <v>#VALUE!</v>
      </c>
      <c r="X2" s="43" t="e">
        <f>LOG10(R2*10)</f>
        <v>#VALUE!</v>
      </c>
    </row>
    <row r="3" spans="1:24" ht="14.25" customHeight="1">
      <c r="A3" s="49"/>
      <c r="B3" s="8">
        <v>1</v>
      </c>
      <c r="C3" s="8">
        <f t="shared" si="0"/>
        <v>0.5</v>
      </c>
      <c r="D3" s="19" t="s">
        <v>25</v>
      </c>
      <c r="E3" s="19" t="s">
        <v>26</v>
      </c>
      <c r="F3" s="21" t="s">
        <v>27</v>
      </c>
      <c r="G3" s="21" t="s">
        <v>28</v>
      </c>
      <c r="H3" s="21" t="s">
        <v>29</v>
      </c>
      <c r="I3" s="21" t="s">
        <v>30</v>
      </c>
      <c r="J3" s="8">
        <v>3.9</v>
      </c>
      <c r="K3" s="8">
        <v>6.9</v>
      </c>
      <c r="L3" s="8">
        <f t="shared" ref="L3:L28" si="2">(K3-J3)/J3*100</f>
        <v>76.923076923076934</v>
      </c>
      <c r="M3" s="9">
        <v>69.599999999999994</v>
      </c>
      <c r="N3" s="9">
        <v>215</v>
      </c>
      <c r="O3" s="10">
        <f t="shared" si="1"/>
        <v>208.90804597701154</v>
      </c>
      <c r="P3" s="11" t="s">
        <v>31</v>
      </c>
      <c r="Q3" s="11" t="s">
        <v>31</v>
      </c>
      <c r="R3" s="33" t="s">
        <v>31</v>
      </c>
      <c r="S3" s="37">
        <f t="shared" ref="S3:S66" si="3">LOG10(J3*10)</f>
        <v>1.5910646070264991</v>
      </c>
      <c r="T3" s="37">
        <f t="shared" ref="T3:T66" si="4">LOG10(L3*10)</f>
        <v>2.8860566476931631</v>
      </c>
      <c r="U3" s="42">
        <f t="shared" ref="U3:U66" si="5">LOG10(M3*10)</f>
        <v>2.842609239610562</v>
      </c>
      <c r="V3" s="41">
        <f t="shared" ref="V3:V66" si="6">LOG10(O3*10)</f>
        <v>3.319955166912457</v>
      </c>
      <c r="W3" s="43" t="e">
        <f t="shared" ref="W3:W66" si="7">LOG10(P3*10)</f>
        <v>#VALUE!</v>
      </c>
      <c r="X3" s="43" t="e">
        <f t="shared" ref="X3:X66" si="8">LOG10(R3*10)</f>
        <v>#VALUE!</v>
      </c>
    </row>
    <row r="4" spans="1:24">
      <c r="A4" s="50"/>
      <c r="B4" s="8">
        <v>5</v>
      </c>
      <c r="C4" s="8">
        <f t="shared" si="0"/>
        <v>2.5</v>
      </c>
      <c r="D4" s="19" t="s">
        <v>25</v>
      </c>
      <c r="E4" s="19" t="s">
        <v>26</v>
      </c>
      <c r="F4" s="21" t="s">
        <v>27</v>
      </c>
      <c r="G4" s="21" t="s">
        <v>28</v>
      </c>
      <c r="H4" s="21" t="s">
        <v>29</v>
      </c>
      <c r="I4" s="21" t="s">
        <v>30</v>
      </c>
      <c r="J4" s="8">
        <v>3.9</v>
      </c>
      <c r="K4" s="8">
        <v>20.7</v>
      </c>
      <c r="L4" s="8">
        <f t="shared" si="2"/>
        <v>430.76923076923083</v>
      </c>
      <c r="M4" s="9">
        <v>69.599999999999994</v>
      </c>
      <c r="N4" s="9">
        <v>378.7</v>
      </c>
      <c r="O4" s="10">
        <f t="shared" si="1"/>
        <v>444.10919540229895</v>
      </c>
      <c r="P4" s="11" t="s">
        <v>31</v>
      </c>
      <c r="Q4" s="11" t="s">
        <v>31</v>
      </c>
      <c r="R4" s="33" t="s">
        <v>31</v>
      </c>
      <c r="S4" s="37">
        <f t="shared" si="3"/>
        <v>1.5910646070264991</v>
      </c>
      <c r="T4" s="37">
        <f t="shared" si="4"/>
        <v>3.6342446746993637</v>
      </c>
      <c r="U4" s="42">
        <f t="shared" si="5"/>
        <v>2.842609239610562</v>
      </c>
      <c r="V4" s="41">
        <f t="shared" si="6"/>
        <v>3.6474897654527427</v>
      </c>
      <c r="W4" s="43" t="e">
        <f t="shared" si="7"/>
        <v>#VALUE!</v>
      </c>
      <c r="X4" s="43" t="e">
        <f t="shared" si="8"/>
        <v>#VALUE!</v>
      </c>
    </row>
    <row r="5" spans="1:24" ht="14.25" customHeight="1">
      <c r="A5" s="48" t="s">
        <v>32</v>
      </c>
      <c r="B5" s="8">
        <v>2</v>
      </c>
      <c r="C5" s="8">
        <f t="shared" si="0"/>
        <v>1</v>
      </c>
      <c r="D5" s="19" t="s">
        <v>25</v>
      </c>
      <c r="E5" s="19" t="s">
        <v>33</v>
      </c>
      <c r="F5" s="17" t="s">
        <v>34</v>
      </c>
      <c r="G5" s="21" t="s">
        <v>35</v>
      </c>
      <c r="H5" s="21" t="s">
        <v>29</v>
      </c>
      <c r="I5" s="21" t="s">
        <v>36</v>
      </c>
      <c r="J5" s="8">
        <v>2.17</v>
      </c>
      <c r="K5" s="8">
        <v>2.41</v>
      </c>
      <c r="L5" s="8">
        <f t="shared" si="2"/>
        <v>11.059907834101393</v>
      </c>
      <c r="M5" s="9">
        <v>40</v>
      </c>
      <c r="N5" s="9">
        <v>43.3</v>
      </c>
      <c r="O5" s="10">
        <f t="shared" si="1"/>
        <v>8.2499999999999929</v>
      </c>
      <c r="P5" s="11">
        <v>8.5</v>
      </c>
      <c r="Q5" s="11">
        <v>9.1</v>
      </c>
      <c r="R5" s="33">
        <f t="shared" ref="R5:R22" si="9">((Q5-P5)/P5)*100</f>
        <v>7.0588235294117601</v>
      </c>
      <c r="S5" s="37">
        <f t="shared" si="3"/>
        <v>1.3364597338485296</v>
      </c>
      <c r="T5" s="37">
        <f t="shared" si="4"/>
        <v>2.0437515078630768</v>
      </c>
      <c r="U5" s="42">
        <f t="shared" si="5"/>
        <v>2.6020599913279625</v>
      </c>
      <c r="V5" s="41">
        <f t="shared" si="6"/>
        <v>1.9164539485499248</v>
      </c>
      <c r="W5" s="43">
        <f t="shared" si="7"/>
        <v>1.9294189257142926</v>
      </c>
      <c r="X5" s="43">
        <f t="shared" si="8"/>
        <v>1.8487323246693506</v>
      </c>
    </row>
    <row r="6" spans="1:24" ht="14.25" customHeight="1">
      <c r="A6" s="49"/>
      <c r="B6" s="8">
        <v>2</v>
      </c>
      <c r="C6" s="8">
        <f t="shared" si="0"/>
        <v>1</v>
      </c>
      <c r="D6" s="19" t="s">
        <v>25</v>
      </c>
      <c r="E6" s="19" t="s">
        <v>33</v>
      </c>
      <c r="F6" s="17" t="s">
        <v>34</v>
      </c>
      <c r="G6" s="21" t="s">
        <v>35</v>
      </c>
      <c r="H6" s="21" t="s">
        <v>29</v>
      </c>
      <c r="I6" s="21" t="s">
        <v>36</v>
      </c>
      <c r="J6" s="8">
        <v>2.17</v>
      </c>
      <c r="K6" s="8">
        <v>2.4900000000000002</v>
      </c>
      <c r="L6" s="8">
        <f t="shared" si="2"/>
        <v>14.746543778801858</v>
      </c>
      <c r="M6" s="9">
        <v>40</v>
      </c>
      <c r="N6" s="9">
        <v>42.9</v>
      </c>
      <c r="O6" s="10">
        <f t="shared" si="1"/>
        <v>7.2499999999999964</v>
      </c>
      <c r="P6" s="11">
        <v>8.5</v>
      </c>
      <c r="Q6" s="11">
        <v>9.1</v>
      </c>
      <c r="R6" s="33">
        <f t="shared" si="9"/>
        <v>7.0588235294117601</v>
      </c>
      <c r="S6" s="37">
        <f t="shared" si="3"/>
        <v>1.3364597338485296</v>
      </c>
      <c r="T6" s="37">
        <f t="shared" si="4"/>
        <v>2.1686902444713767</v>
      </c>
      <c r="U6" s="42">
        <f t="shared" si="5"/>
        <v>2.6020599913279625</v>
      </c>
      <c r="V6" s="41">
        <f t="shared" si="6"/>
        <v>1.8603380065709936</v>
      </c>
      <c r="W6" s="43">
        <f t="shared" si="7"/>
        <v>1.9294189257142926</v>
      </c>
      <c r="X6" s="43">
        <f t="shared" si="8"/>
        <v>1.8487323246693506</v>
      </c>
    </row>
    <row r="7" spans="1:24" ht="14.25" customHeight="1">
      <c r="A7" s="49"/>
      <c r="B7" s="8">
        <v>2</v>
      </c>
      <c r="C7" s="8">
        <f t="shared" si="0"/>
        <v>1</v>
      </c>
      <c r="D7" s="19" t="s">
        <v>25</v>
      </c>
      <c r="E7" s="19" t="s">
        <v>33</v>
      </c>
      <c r="F7" s="17" t="s">
        <v>34</v>
      </c>
      <c r="G7" s="21" t="s">
        <v>35</v>
      </c>
      <c r="H7" s="21" t="s">
        <v>29</v>
      </c>
      <c r="I7" s="21" t="s">
        <v>36</v>
      </c>
      <c r="J7" s="8">
        <v>2.17</v>
      </c>
      <c r="K7" s="8">
        <v>2.57</v>
      </c>
      <c r="L7" s="8">
        <f t="shared" si="2"/>
        <v>18.433179723502299</v>
      </c>
      <c r="M7" s="9">
        <v>40</v>
      </c>
      <c r="N7" s="9">
        <v>42.5</v>
      </c>
      <c r="O7" s="10">
        <f t="shared" si="1"/>
        <v>6.25</v>
      </c>
      <c r="P7" s="11">
        <v>8.5</v>
      </c>
      <c r="Q7" s="11">
        <v>9.1</v>
      </c>
      <c r="R7" s="33">
        <f t="shared" si="9"/>
        <v>7.0588235294117601</v>
      </c>
      <c r="S7" s="37">
        <f t="shared" si="3"/>
        <v>1.3364597338485296</v>
      </c>
      <c r="T7" s="37">
        <f t="shared" si="4"/>
        <v>2.2656002574794329</v>
      </c>
      <c r="U7" s="42">
        <f t="shared" si="5"/>
        <v>2.6020599913279625</v>
      </c>
      <c r="V7" s="41">
        <f t="shared" si="6"/>
        <v>1.7958800173440752</v>
      </c>
      <c r="W7" s="43">
        <f t="shared" si="7"/>
        <v>1.9294189257142926</v>
      </c>
      <c r="X7" s="43">
        <f t="shared" si="8"/>
        <v>1.8487323246693506</v>
      </c>
    </row>
    <row r="8" spans="1:24" ht="14.25" customHeight="1">
      <c r="A8" s="49"/>
      <c r="B8" s="8">
        <v>2</v>
      </c>
      <c r="C8" s="8">
        <f t="shared" si="0"/>
        <v>1</v>
      </c>
      <c r="D8" s="19" t="s">
        <v>25</v>
      </c>
      <c r="E8" s="19" t="s">
        <v>33</v>
      </c>
      <c r="F8" s="17" t="s">
        <v>34</v>
      </c>
      <c r="G8" s="21" t="s">
        <v>35</v>
      </c>
      <c r="H8" s="21" t="s">
        <v>29</v>
      </c>
      <c r="I8" s="21" t="s">
        <v>36</v>
      </c>
      <c r="J8" s="8">
        <v>2.17</v>
      </c>
      <c r="K8" s="8">
        <v>2.7</v>
      </c>
      <c r="L8" s="8">
        <f t="shared" si="2"/>
        <v>24.423963133640566</v>
      </c>
      <c r="M8" s="9">
        <v>40</v>
      </c>
      <c r="N8" s="9">
        <v>42.2</v>
      </c>
      <c r="O8" s="10">
        <f t="shared" si="1"/>
        <v>5.5000000000000071</v>
      </c>
      <c r="P8" s="11">
        <v>8.5</v>
      </c>
      <c r="Q8" s="11">
        <v>9.1</v>
      </c>
      <c r="R8" s="33">
        <f t="shared" si="9"/>
        <v>7.0588235294117601</v>
      </c>
      <c r="S8" s="37">
        <f t="shared" si="3"/>
        <v>1.3364597338485296</v>
      </c>
      <c r="T8" s="37">
        <f t="shared" si="4"/>
        <v>2.3878161357522596</v>
      </c>
      <c r="U8" s="42">
        <f t="shared" si="5"/>
        <v>2.6020599913279625</v>
      </c>
      <c r="V8" s="41">
        <f t="shared" si="6"/>
        <v>1.7403626894942443</v>
      </c>
      <c r="W8" s="43">
        <f t="shared" si="7"/>
        <v>1.9294189257142926</v>
      </c>
      <c r="X8" s="43">
        <f t="shared" si="8"/>
        <v>1.8487323246693506</v>
      </c>
    </row>
    <row r="9" spans="1:24" ht="14.25" customHeight="1">
      <c r="A9" s="49"/>
      <c r="B9" s="8">
        <v>4</v>
      </c>
      <c r="C9" s="8">
        <f t="shared" si="0"/>
        <v>2</v>
      </c>
      <c r="D9" s="19" t="s">
        <v>25</v>
      </c>
      <c r="E9" s="19" t="s">
        <v>33</v>
      </c>
      <c r="F9" s="17" t="s">
        <v>34</v>
      </c>
      <c r="G9" s="21" t="s">
        <v>37</v>
      </c>
      <c r="H9" s="21" t="s">
        <v>29</v>
      </c>
      <c r="I9" s="21" t="s">
        <v>36</v>
      </c>
      <c r="J9" s="8">
        <v>2.17</v>
      </c>
      <c r="K9" s="8">
        <v>2.48</v>
      </c>
      <c r="L9" s="8">
        <f t="shared" si="2"/>
        <v>14.285714285714288</v>
      </c>
      <c r="M9" s="9">
        <v>40</v>
      </c>
      <c r="N9" s="9">
        <v>44.7</v>
      </c>
      <c r="O9" s="10">
        <f t="shared" si="1"/>
        <v>11.750000000000007</v>
      </c>
      <c r="P9" s="11">
        <v>8.5</v>
      </c>
      <c r="Q9" s="11">
        <v>8.8000000000000007</v>
      </c>
      <c r="R9" s="33">
        <f t="shared" si="9"/>
        <v>3.5294117647058907</v>
      </c>
      <c r="S9" s="37">
        <f t="shared" si="3"/>
        <v>1.3364597338485296</v>
      </c>
      <c r="T9" s="37">
        <f t="shared" si="4"/>
        <v>2.1549019599857431</v>
      </c>
      <c r="U9" s="42">
        <f t="shared" si="5"/>
        <v>2.6020599913279625</v>
      </c>
      <c r="V9" s="41">
        <f t="shared" si="6"/>
        <v>2.0700378666077555</v>
      </c>
      <c r="W9" s="43">
        <f t="shared" si="7"/>
        <v>1.9294189257142926</v>
      </c>
      <c r="X9" s="43">
        <f t="shared" si="8"/>
        <v>1.5477023290053706</v>
      </c>
    </row>
    <row r="10" spans="1:24" ht="14.25" customHeight="1">
      <c r="A10" s="49"/>
      <c r="B10" s="8">
        <v>4</v>
      </c>
      <c r="C10" s="8">
        <f t="shared" si="0"/>
        <v>2</v>
      </c>
      <c r="D10" s="19" t="s">
        <v>25</v>
      </c>
      <c r="E10" s="19" t="s">
        <v>33</v>
      </c>
      <c r="F10" s="17" t="s">
        <v>34</v>
      </c>
      <c r="G10" s="21" t="s">
        <v>37</v>
      </c>
      <c r="H10" s="21" t="s">
        <v>29</v>
      </c>
      <c r="I10" s="21" t="s">
        <v>36</v>
      </c>
      <c r="J10" s="8">
        <v>2.17</v>
      </c>
      <c r="K10" s="8">
        <v>2.57</v>
      </c>
      <c r="L10" s="8">
        <f t="shared" si="2"/>
        <v>18.433179723502299</v>
      </c>
      <c r="M10" s="9">
        <v>40</v>
      </c>
      <c r="N10" s="9">
        <v>44.3</v>
      </c>
      <c r="O10" s="10">
        <f t="shared" si="1"/>
        <v>10.749999999999993</v>
      </c>
      <c r="P10" s="11">
        <v>8.5</v>
      </c>
      <c r="Q10" s="11">
        <v>8.8000000000000007</v>
      </c>
      <c r="R10" s="33">
        <f t="shared" si="9"/>
        <v>3.5294117647058907</v>
      </c>
      <c r="S10" s="37">
        <f t="shared" si="3"/>
        <v>1.3364597338485296</v>
      </c>
      <c r="T10" s="37">
        <f t="shared" si="4"/>
        <v>2.2656002574794329</v>
      </c>
      <c r="U10" s="42">
        <f t="shared" si="5"/>
        <v>2.6020599913279625</v>
      </c>
      <c r="V10" s="41">
        <f t="shared" si="6"/>
        <v>2.0314084642516237</v>
      </c>
      <c r="W10" s="43">
        <f t="shared" si="7"/>
        <v>1.9294189257142926</v>
      </c>
      <c r="X10" s="43">
        <f t="shared" si="8"/>
        <v>1.5477023290053706</v>
      </c>
    </row>
    <row r="11" spans="1:24" ht="14.25" customHeight="1">
      <c r="A11" s="49"/>
      <c r="B11" s="8">
        <v>4</v>
      </c>
      <c r="C11" s="8">
        <f t="shared" si="0"/>
        <v>2</v>
      </c>
      <c r="D11" s="19" t="s">
        <v>25</v>
      </c>
      <c r="E11" s="19" t="s">
        <v>33</v>
      </c>
      <c r="F11" s="17" t="s">
        <v>34</v>
      </c>
      <c r="G11" s="21" t="s">
        <v>37</v>
      </c>
      <c r="H11" s="21" t="s">
        <v>29</v>
      </c>
      <c r="I11" s="21" t="s">
        <v>36</v>
      </c>
      <c r="J11" s="8">
        <v>2.17</v>
      </c>
      <c r="K11" s="8">
        <v>2.65</v>
      </c>
      <c r="L11" s="8">
        <f t="shared" si="2"/>
        <v>22.119815668202765</v>
      </c>
      <c r="M11" s="9">
        <v>40</v>
      </c>
      <c r="N11" s="9">
        <v>44</v>
      </c>
      <c r="O11" s="10">
        <f t="shared" si="1"/>
        <v>10</v>
      </c>
      <c r="P11" s="11">
        <v>8.5</v>
      </c>
      <c r="Q11" s="11">
        <v>8.8000000000000007</v>
      </c>
      <c r="R11" s="33">
        <f t="shared" si="9"/>
        <v>3.5294117647058907</v>
      </c>
      <c r="S11" s="37">
        <f t="shared" si="3"/>
        <v>1.3364597338485296</v>
      </c>
      <c r="T11" s="37">
        <f t="shared" si="4"/>
        <v>2.3447815035270576</v>
      </c>
      <c r="U11" s="42">
        <f t="shared" si="5"/>
        <v>2.6020599913279625</v>
      </c>
      <c r="V11" s="41">
        <f t="shared" si="6"/>
        <v>2</v>
      </c>
      <c r="W11" s="43">
        <f t="shared" si="7"/>
        <v>1.9294189257142926</v>
      </c>
      <c r="X11" s="43">
        <f t="shared" si="8"/>
        <v>1.5477023290053706</v>
      </c>
    </row>
    <row r="12" spans="1:24" ht="14.25" customHeight="1">
      <c r="A12" s="49"/>
      <c r="B12" s="8">
        <v>4</v>
      </c>
      <c r="C12" s="8">
        <f t="shared" si="0"/>
        <v>2</v>
      </c>
      <c r="D12" s="19" t="s">
        <v>25</v>
      </c>
      <c r="E12" s="19" t="s">
        <v>33</v>
      </c>
      <c r="F12" s="17" t="s">
        <v>34</v>
      </c>
      <c r="G12" s="21" t="s">
        <v>37</v>
      </c>
      <c r="H12" s="21" t="s">
        <v>29</v>
      </c>
      <c r="I12" s="21" t="s">
        <v>36</v>
      </c>
      <c r="J12" s="8">
        <v>2.17</v>
      </c>
      <c r="K12" s="8">
        <v>2.95</v>
      </c>
      <c r="L12" s="8">
        <f t="shared" si="2"/>
        <v>35.944700460829502</v>
      </c>
      <c r="M12" s="9">
        <v>40</v>
      </c>
      <c r="N12" s="9">
        <v>43.7</v>
      </c>
      <c r="O12" s="10">
        <f t="shared" si="1"/>
        <v>9.2500000000000071</v>
      </c>
      <c r="P12" s="11">
        <v>8.5</v>
      </c>
      <c r="Q12" s="11">
        <v>8.8000000000000007</v>
      </c>
      <c r="R12" s="33">
        <f t="shared" si="9"/>
        <v>3.5294117647058907</v>
      </c>
      <c r="S12" s="37">
        <f t="shared" si="3"/>
        <v>1.3364597338485296</v>
      </c>
      <c r="T12" s="37">
        <f t="shared" si="4"/>
        <v>2.5556348688419508</v>
      </c>
      <c r="U12" s="42">
        <f t="shared" si="5"/>
        <v>2.6020599913279625</v>
      </c>
      <c r="V12" s="41">
        <f t="shared" si="6"/>
        <v>1.9661417327390329</v>
      </c>
      <c r="W12" s="43">
        <f t="shared" si="7"/>
        <v>1.9294189257142926</v>
      </c>
      <c r="X12" s="43">
        <f t="shared" si="8"/>
        <v>1.5477023290053706</v>
      </c>
    </row>
    <row r="13" spans="1:24" ht="14.25" customHeight="1">
      <c r="A13" s="49"/>
      <c r="B13" s="8">
        <v>6</v>
      </c>
      <c r="C13" s="8">
        <f t="shared" si="0"/>
        <v>3</v>
      </c>
      <c r="D13" s="19" t="s">
        <v>25</v>
      </c>
      <c r="E13" s="19" t="s">
        <v>33</v>
      </c>
      <c r="F13" s="17" t="s">
        <v>34</v>
      </c>
      <c r="G13" s="21" t="s">
        <v>38</v>
      </c>
      <c r="H13" s="21" t="s">
        <v>29</v>
      </c>
      <c r="I13" s="21" t="s">
        <v>36</v>
      </c>
      <c r="J13" s="8">
        <v>2.17</v>
      </c>
      <c r="K13" s="8">
        <v>2.6</v>
      </c>
      <c r="L13" s="8">
        <f t="shared" si="2"/>
        <v>19.815668202764986</v>
      </c>
      <c r="M13" s="9">
        <v>40</v>
      </c>
      <c r="N13" s="9">
        <v>44.1</v>
      </c>
      <c r="O13" s="10">
        <f t="shared" si="1"/>
        <v>10.250000000000004</v>
      </c>
      <c r="P13" s="11">
        <v>8.5</v>
      </c>
      <c r="Q13" s="11">
        <v>8.5</v>
      </c>
      <c r="R13" s="33">
        <f t="shared" si="9"/>
        <v>0</v>
      </c>
      <c r="S13" s="37">
        <f t="shared" si="3"/>
        <v>1.3364597338485296</v>
      </c>
      <c r="T13" s="37">
        <f t="shared" si="4"/>
        <v>2.2970087217310571</v>
      </c>
      <c r="U13" s="42">
        <f t="shared" si="5"/>
        <v>2.6020599913279625</v>
      </c>
      <c r="V13" s="41">
        <f t="shared" si="6"/>
        <v>2.0107238653917734</v>
      </c>
      <c r="W13" s="43">
        <f t="shared" si="7"/>
        <v>1.9294189257142926</v>
      </c>
      <c r="X13" s="43" t="e">
        <f t="shared" si="8"/>
        <v>#NUM!</v>
      </c>
    </row>
    <row r="14" spans="1:24" ht="14.25" customHeight="1">
      <c r="A14" s="49"/>
      <c r="B14" s="8">
        <v>6</v>
      </c>
      <c r="C14" s="8">
        <f t="shared" si="0"/>
        <v>3</v>
      </c>
      <c r="D14" s="19" t="s">
        <v>25</v>
      </c>
      <c r="E14" s="19" t="s">
        <v>33</v>
      </c>
      <c r="F14" s="17" t="s">
        <v>34</v>
      </c>
      <c r="G14" s="21" t="s">
        <v>38</v>
      </c>
      <c r="H14" s="21" t="s">
        <v>29</v>
      </c>
      <c r="I14" s="21" t="s">
        <v>36</v>
      </c>
      <c r="J14" s="8">
        <v>2.17</v>
      </c>
      <c r="K14" s="8">
        <v>2.71</v>
      </c>
      <c r="L14" s="8">
        <f t="shared" si="2"/>
        <v>24.884792626728114</v>
      </c>
      <c r="M14" s="9">
        <v>40</v>
      </c>
      <c r="N14" s="9">
        <v>43.8</v>
      </c>
      <c r="O14" s="10">
        <f t="shared" si="1"/>
        <v>9.4999999999999929</v>
      </c>
      <c r="P14" s="11">
        <v>8.5</v>
      </c>
      <c r="Q14" s="11">
        <v>8.5</v>
      </c>
      <c r="R14" s="33">
        <f t="shared" si="9"/>
        <v>0</v>
      </c>
      <c r="S14" s="37">
        <f t="shared" si="3"/>
        <v>1.3364597338485296</v>
      </c>
      <c r="T14" s="37">
        <f t="shared" si="4"/>
        <v>2.3959340259744391</v>
      </c>
      <c r="U14" s="42">
        <f t="shared" si="5"/>
        <v>2.6020599913279625</v>
      </c>
      <c r="V14" s="41">
        <f t="shared" si="6"/>
        <v>1.9777236052888474</v>
      </c>
      <c r="W14" s="43">
        <f t="shared" si="7"/>
        <v>1.9294189257142926</v>
      </c>
      <c r="X14" s="43" t="e">
        <f t="shared" si="8"/>
        <v>#NUM!</v>
      </c>
    </row>
    <row r="15" spans="1:24" ht="14.25" customHeight="1">
      <c r="A15" s="49"/>
      <c r="B15" s="8">
        <v>6</v>
      </c>
      <c r="C15" s="8">
        <f t="shared" si="0"/>
        <v>3</v>
      </c>
      <c r="D15" s="19" t="s">
        <v>25</v>
      </c>
      <c r="E15" s="19" t="s">
        <v>33</v>
      </c>
      <c r="F15" s="17" t="s">
        <v>34</v>
      </c>
      <c r="G15" s="21" t="s">
        <v>38</v>
      </c>
      <c r="H15" s="21" t="s">
        <v>29</v>
      </c>
      <c r="I15" s="21" t="s">
        <v>36</v>
      </c>
      <c r="J15" s="8">
        <v>2.17</v>
      </c>
      <c r="K15" s="8">
        <v>2.92</v>
      </c>
      <c r="L15" s="8">
        <f t="shared" si="2"/>
        <v>34.562211981566819</v>
      </c>
      <c r="M15" s="9">
        <v>40</v>
      </c>
      <c r="N15" s="9">
        <v>43.5</v>
      </c>
      <c r="O15" s="10">
        <f t="shared" si="1"/>
        <v>8.75</v>
      </c>
      <c r="P15" s="11">
        <v>8.5</v>
      </c>
      <c r="Q15" s="11">
        <v>8.5</v>
      </c>
      <c r="R15" s="33">
        <f t="shared" si="9"/>
        <v>0</v>
      </c>
      <c r="S15" s="37">
        <f t="shared" si="3"/>
        <v>1.3364597338485296</v>
      </c>
      <c r="T15" s="37">
        <f t="shared" si="4"/>
        <v>2.5386015295431705</v>
      </c>
      <c r="U15" s="42">
        <f t="shared" si="5"/>
        <v>2.6020599913279625</v>
      </c>
      <c r="V15" s="41">
        <f t="shared" si="6"/>
        <v>1.9420080530223132</v>
      </c>
      <c r="W15" s="43">
        <f t="shared" si="7"/>
        <v>1.9294189257142926</v>
      </c>
      <c r="X15" s="43" t="e">
        <f t="shared" si="8"/>
        <v>#NUM!</v>
      </c>
    </row>
    <row r="16" spans="1:24">
      <c r="A16" s="50"/>
      <c r="B16" s="8">
        <v>6</v>
      </c>
      <c r="C16" s="8">
        <f t="shared" si="0"/>
        <v>3</v>
      </c>
      <c r="D16" s="19" t="s">
        <v>25</v>
      </c>
      <c r="E16" s="19" t="s">
        <v>33</v>
      </c>
      <c r="F16" s="17" t="s">
        <v>34</v>
      </c>
      <c r="G16" s="21" t="s">
        <v>38</v>
      </c>
      <c r="H16" s="21" t="s">
        <v>29</v>
      </c>
      <c r="I16" s="21" t="s">
        <v>36</v>
      </c>
      <c r="J16" s="8">
        <v>2.17</v>
      </c>
      <c r="K16" s="8">
        <v>2.52</v>
      </c>
      <c r="L16" s="8">
        <f t="shared" si="2"/>
        <v>16.12903225806452</v>
      </c>
      <c r="M16" s="9">
        <v>40</v>
      </c>
      <c r="N16" s="9">
        <v>43.1</v>
      </c>
      <c r="O16" s="10">
        <f t="shared" si="1"/>
        <v>7.7500000000000044</v>
      </c>
      <c r="P16" s="11">
        <v>8.5</v>
      </c>
      <c r="Q16" s="11">
        <v>8.5</v>
      </c>
      <c r="R16" s="33">
        <f t="shared" si="9"/>
        <v>0</v>
      </c>
      <c r="S16" s="37">
        <f t="shared" si="3"/>
        <v>1.3364597338485296</v>
      </c>
      <c r="T16" s="37">
        <f t="shared" si="4"/>
        <v>2.2076083105017461</v>
      </c>
      <c r="U16" s="42">
        <f t="shared" si="5"/>
        <v>2.6020599913279625</v>
      </c>
      <c r="V16" s="41">
        <f t="shared" si="6"/>
        <v>1.8893017025063106</v>
      </c>
      <c r="W16" s="43">
        <f t="shared" si="7"/>
        <v>1.9294189257142926</v>
      </c>
      <c r="X16" s="43" t="e">
        <f t="shared" si="8"/>
        <v>#NUM!</v>
      </c>
    </row>
    <row r="17" spans="1:24" ht="14.25" customHeight="1">
      <c r="A17" s="48" t="s">
        <v>39</v>
      </c>
      <c r="B17" s="8">
        <v>5.4</v>
      </c>
      <c r="C17" s="8">
        <f t="shared" si="0"/>
        <v>2.7</v>
      </c>
      <c r="D17" s="19" t="s">
        <v>25</v>
      </c>
      <c r="E17" s="19" t="s">
        <v>40</v>
      </c>
      <c r="F17" s="17" t="s">
        <v>34</v>
      </c>
      <c r="G17" s="21" t="s">
        <v>28</v>
      </c>
      <c r="H17" s="21" t="s">
        <v>29</v>
      </c>
      <c r="I17" s="21" t="s">
        <v>36</v>
      </c>
      <c r="J17" s="8">
        <v>0.11</v>
      </c>
      <c r="K17" s="8">
        <v>0.22</v>
      </c>
      <c r="L17" s="8">
        <f t="shared" si="2"/>
        <v>100</v>
      </c>
      <c r="M17" s="9">
        <v>0.3</v>
      </c>
      <c r="N17" s="9">
        <v>1.9</v>
      </c>
      <c r="O17" s="10">
        <f t="shared" si="1"/>
        <v>533.33333333333326</v>
      </c>
      <c r="P17" s="11">
        <v>18</v>
      </c>
      <c r="Q17" s="11">
        <v>15.6</v>
      </c>
      <c r="R17" s="33">
        <f t="shared" si="9"/>
        <v>-13.333333333333336</v>
      </c>
      <c r="S17" s="37">
        <f t="shared" si="3"/>
        <v>4.1392685158225077E-2</v>
      </c>
      <c r="T17" s="37">
        <f t="shared" si="4"/>
        <v>3</v>
      </c>
      <c r="U17" s="42">
        <f t="shared" si="5"/>
        <v>0.47712125471966244</v>
      </c>
      <c r="V17" s="41">
        <f t="shared" si="6"/>
        <v>3.7269987279362624</v>
      </c>
      <c r="W17" s="43">
        <f t="shared" si="7"/>
        <v>2.255272505103306</v>
      </c>
      <c r="X17" s="43" t="e">
        <f t="shared" si="8"/>
        <v>#NUM!</v>
      </c>
    </row>
    <row r="18" spans="1:24" ht="14.25" customHeight="1">
      <c r="A18" s="49"/>
      <c r="B18" s="8">
        <v>10.9</v>
      </c>
      <c r="C18" s="8">
        <f t="shared" si="0"/>
        <v>5.45</v>
      </c>
      <c r="D18" s="19" t="s">
        <v>25</v>
      </c>
      <c r="E18" s="19" t="s">
        <v>40</v>
      </c>
      <c r="F18" s="17" t="s">
        <v>34</v>
      </c>
      <c r="G18" s="21" t="s">
        <v>28</v>
      </c>
      <c r="H18" s="21" t="s">
        <v>29</v>
      </c>
      <c r="I18" s="21" t="s">
        <v>36</v>
      </c>
      <c r="J18" s="8">
        <v>0.11</v>
      </c>
      <c r="K18" s="8">
        <v>0.91</v>
      </c>
      <c r="L18" s="8">
        <f t="shared" si="2"/>
        <v>727.27272727272737</v>
      </c>
      <c r="M18" s="9">
        <v>0.3</v>
      </c>
      <c r="N18" s="9">
        <v>3.7</v>
      </c>
      <c r="O18" s="10">
        <f t="shared" si="1"/>
        <v>1133.3333333333335</v>
      </c>
      <c r="P18" s="11">
        <v>18</v>
      </c>
      <c r="Q18" s="11">
        <v>2.6</v>
      </c>
      <c r="R18" s="33">
        <f t="shared" si="9"/>
        <v>-85.555555555555557</v>
      </c>
      <c r="S18" s="37">
        <f t="shared" si="3"/>
        <v>4.1392685158225077E-2</v>
      </c>
      <c r="T18" s="37">
        <f t="shared" si="4"/>
        <v>3.8616973018337184</v>
      </c>
      <c r="U18" s="42">
        <f t="shared" si="5"/>
        <v>0.47712125471966244</v>
      </c>
      <c r="V18" s="41">
        <f t="shared" si="6"/>
        <v>4.0543576623225928</v>
      </c>
      <c r="W18" s="43">
        <f t="shared" si="7"/>
        <v>2.255272505103306</v>
      </c>
      <c r="X18" s="43" t="e">
        <f t="shared" si="8"/>
        <v>#NUM!</v>
      </c>
    </row>
    <row r="19" spans="1:24" ht="14.25" customHeight="1">
      <c r="A19" s="49"/>
      <c r="B19" s="8">
        <v>14.9</v>
      </c>
      <c r="C19" s="8">
        <f t="shared" si="0"/>
        <v>7.45</v>
      </c>
      <c r="D19" s="19" t="s">
        <v>25</v>
      </c>
      <c r="E19" s="19" t="s">
        <v>40</v>
      </c>
      <c r="F19" s="17" t="s">
        <v>34</v>
      </c>
      <c r="G19" s="21" t="s">
        <v>28</v>
      </c>
      <c r="H19" s="21" t="s">
        <v>29</v>
      </c>
      <c r="I19" s="21" t="s">
        <v>36</v>
      </c>
      <c r="J19" s="8">
        <v>0.11</v>
      </c>
      <c r="K19" s="8">
        <v>1.72</v>
      </c>
      <c r="L19" s="8">
        <f t="shared" si="2"/>
        <v>1463.6363636363635</v>
      </c>
      <c r="M19" s="9">
        <v>0.3</v>
      </c>
      <c r="N19" s="9">
        <v>7.9</v>
      </c>
      <c r="O19" s="10">
        <f t="shared" si="1"/>
        <v>2533.3333333333335</v>
      </c>
      <c r="P19" s="11">
        <v>18</v>
      </c>
      <c r="Q19" s="11">
        <v>1.6</v>
      </c>
      <c r="R19" s="33">
        <f t="shared" si="9"/>
        <v>-91.1111111111111</v>
      </c>
      <c r="S19" s="37">
        <f t="shared" si="3"/>
        <v>4.1392685158225077E-2</v>
      </c>
      <c r="T19" s="37">
        <f t="shared" si="4"/>
        <v>4.1654331908736246</v>
      </c>
      <c r="U19" s="42">
        <f t="shared" si="5"/>
        <v>0.47712125471966244</v>
      </c>
      <c r="V19" s="41">
        <f t="shared" si="6"/>
        <v>4.4036923375611288</v>
      </c>
      <c r="W19" s="43">
        <f t="shared" si="7"/>
        <v>2.255272505103306</v>
      </c>
      <c r="X19" s="43" t="e">
        <f t="shared" si="8"/>
        <v>#NUM!</v>
      </c>
    </row>
    <row r="20" spans="1:24" ht="14.25" customHeight="1">
      <c r="A20" s="49"/>
      <c r="B20" s="8">
        <v>16.5</v>
      </c>
      <c r="C20" s="8">
        <f t="shared" si="0"/>
        <v>8.25</v>
      </c>
      <c r="D20" s="19" t="s">
        <v>25</v>
      </c>
      <c r="E20" s="19" t="s">
        <v>40</v>
      </c>
      <c r="F20" s="17" t="s">
        <v>34</v>
      </c>
      <c r="G20" s="21" t="s">
        <v>28</v>
      </c>
      <c r="H20" s="21" t="s">
        <v>29</v>
      </c>
      <c r="I20" s="21" t="s">
        <v>36</v>
      </c>
      <c r="J20" s="8">
        <v>0.11</v>
      </c>
      <c r="K20" s="8">
        <v>2.79</v>
      </c>
      <c r="L20" s="8">
        <f t="shared" si="2"/>
        <v>2436.3636363636365</v>
      </c>
      <c r="M20" s="9">
        <v>0.3</v>
      </c>
      <c r="N20" s="9">
        <v>10.9</v>
      </c>
      <c r="O20" s="10">
        <f t="shared" si="1"/>
        <v>3533.3333333333335</v>
      </c>
      <c r="P20" s="11">
        <v>18</v>
      </c>
      <c r="Q20" s="11">
        <v>1.6</v>
      </c>
      <c r="R20" s="33">
        <f t="shared" si="9"/>
        <v>-91.1111111111111</v>
      </c>
      <c r="S20" s="37">
        <f t="shared" si="3"/>
        <v>4.1392685158225077E-2</v>
      </c>
      <c r="T20" s="37">
        <f t="shared" si="4"/>
        <v>4.386742108870564</v>
      </c>
      <c r="U20" s="42">
        <f t="shared" si="5"/>
        <v>0.47712125471966244</v>
      </c>
      <c r="V20" s="41">
        <f t="shared" si="6"/>
        <v>4.5481846105451078</v>
      </c>
      <c r="W20" s="43">
        <f t="shared" si="7"/>
        <v>2.255272505103306</v>
      </c>
      <c r="X20" s="43" t="e">
        <f t="shared" si="8"/>
        <v>#NUM!</v>
      </c>
    </row>
    <row r="21" spans="1:24" ht="14.25" customHeight="1">
      <c r="A21" s="49"/>
      <c r="B21" s="8">
        <v>19.899999999999999</v>
      </c>
      <c r="C21" s="8">
        <f t="shared" si="0"/>
        <v>9.9499999999999993</v>
      </c>
      <c r="D21" s="19" t="s">
        <v>25</v>
      </c>
      <c r="E21" s="19" t="s">
        <v>40</v>
      </c>
      <c r="F21" s="17" t="s">
        <v>34</v>
      </c>
      <c r="G21" s="21" t="s">
        <v>28</v>
      </c>
      <c r="H21" s="21" t="s">
        <v>29</v>
      </c>
      <c r="I21" s="21" t="s">
        <v>36</v>
      </c>
      <c r="J21" s="8">
        <v>0.11</v>
      </c>
      <c r="K21" s="8">
        <v>2.78</v>
      </c>
      <c r="L21" s="8">
        <f t="shared" si="2"/>
        <v>2427.2727272727275</v>
      </c>
      <c r="M21" s="9">
        <v>0.3</v>
      </c>
      <c r="N21" s="9">
        <v>11.8</v>
      </c>
      <c r="O21" s="10">
        <f t="shared" si="1"/>
        <v>3833.3333333333335</v>
      </c>
      <c r="P21" s="11">
        <v>18</v>
      </c>
      <c r="Q21" s="11">
        <v>0.9</v>
      </c>
      <c r="R21" s="33">
        <f t="shared" si="9"/>
        <v>-95</v>
      </c>
      <c r="S21" s="37">
        <f t="shared" si="3"/>
        <v>4.1392685158225077E-2</v>
      </c>
      <c r="T21" s="37">
        <f t="shared" si="4"/>
        <v>4.3851185762063505</v>
      </c>
      <c r="U21" s="42">
        <f t="shared" si="5"/>
        <v>0.47712125471966244</v>
      </c>
      <c r="V21" s="41">
        <f t="shared" si="6"/>
        <v>4.5835765856339492</v>
      </c>
      <c r="W21" s="43">
        <f t="shared" si="7"/>
        <v>2.255272505103306</v>
      </c>
      <c r="X21" s="43" t="e">
        <f t="shared" si="8"/>
        <v>#NUM!</v>
      </c>
    </row>
    <row r="22" spans="1:24">
      <c r="A22" s="50"/>
      <c r="B22" s="8">
        <v>22.6</v>
      </c>
      <c r="C22" s="8">
        <f t="shared" si="0"/>
        <v>11.3</v>
      </c>
      <c r="D22" s="19" t="s">
        <v>25</v>
      </c>
      <c r="E22" s="19" t="s">
        <v>40</v>
      </c>
      <c r="F22" s="17" t="s">
        <v>34</v>
      </c>
      <c r="G22" s="21" t="s">
        <v>28</v>
      </c>
      <c r="H22" s="21" t="s">
        <v>29</v>
      </c>
      <c r="I22" s="21" t="s">
        <v>36</v>
      </c>
      <c r="J22" s="8">
        <v>0.11</v>
      </c>
      <c r="K22" s="8">
        <v>5.79</v>
      </c>
      <c r="L22" s="8">
        <f t="shared" si="2"/>
        <v>5163.6363636363631</v>
      </c>
      <c r="M22" s="9">
        <v>0.3</v>
      </c>
      <c r="N22" s="9">
        <v>13.5</v>
      </c>
      <c r="O22" s="10">
        <f t="shared" si="1"/>
        <v>4400</v>
      </c>
      <c r="P22" s="11">
        <v>18</v>
      </c>
      <c r="Q22" s="11">
        <v>0.5</v>
      </c>
      <c r="R22" s="33">
        <f t="shared" si="9"/>
        <v>-97.222222222222214</v>
      </c>
      <c r="S22" s="37">
        <f t="shared" si="3"/>
        <v>4.1392685158225077E-2</v>
      </c>
      <c r="T22" s="37">
        <f t="shared" si="4"/>
        <v>4.7129556505527939</v>
      </c>
      <c r="U22" s="42">
        <f t="shared" si="5"/>
        <v>0.47712125471966244</v>
      </c>
      <c r="V22" s="41">
        <f t="shared" si="6"/>
        <v>4.6434526764861879</v>
      </c>
      <c r="W22" s="43">
        <f t="shared" si="7"/>
        <v>2.255272505103306</v>
      </c>
      <c r="X22" s="43" t="e">
        <f t="shared" si="8"/>
        <v>#NUM!</v>
      </c>
    </row>
    <row r="23" spans="1:24" ht="14.25" customHeight="1">
      <c r="A23" s="48" t="s">
        <v>41</v>
      </c>
      <c r="B23" s="8">
        <v>0.5</v>
      </c>
      <c r="C23" s="8">
        <f t="shared" si="0"/>
        <v>0.25</v>
      </c>
      <c r="D23" s="19" t="s">
        <v>42</v>
      </c>
      <c r="E23" s="19" t="s">
        <v>43</v>
      </c>
      <c r="F23" s="17" t="s">
        <v>34</v>
      </c>
      <c r="G23" s="21" t="s">
        <v>28</v>
      </c>
      <c r="H23" s="21" t="s">
        <v>29</v>
      </c>
      <c r="I23" s="21" t="s">
        <v>36</v>
      </c>
      <c r="J23" s="8">
        <v>1.3</v>
      </c>
      <c r="K23" s="8">
        <v>1.4</v>
      </c>
      <c r="L23" s="8">
        <f t="shared" si="2"/>
        <v>7.6923076923076819</v>
      </c>
      <c r="M23" s="9">
        <v>66.52</v>
      </c>
      <c r="N23" s="9">
        <v>67.319999999999993</v>
      </c>
      <c r="O23" s="10">
        <f t="shared" si="1"/>
        <v>1.2026458208057684</v>
      </c>
      <c r="P23" s="11">
        <v>2.9</v>
      </c>
      <c r="Q23" s="11" t="s">
        <v>31</v>
      </c>
      <c r="R23" s="33" t="s">
        <v>31</v>
      </c>
      <c r="S23" s="37">
        <f t="shared" si="3"/>
        <v>1.1139433523068367</v>
      </c>
      <c r="T23" s="37">
        <f t="shared" si="4"/>
        <v>1.8860566476931626</v>
      </c>
      <c r="U23" s="42">
        <f t="shared" si="5"/>
        <v>2.8229522405474814</v>
      </c>
      <c r="V23" s="41">
        <f t="shared" si="6"/>
        <v>1.0801377464444604</v>
      </c>
      <c r="W23" s="43">
        <f t="shared" si="7"/>
        <v>1.4623979978989561</v>
      </c>
      <c r="X23" s="43" t="e">
        <f t="shared" si="8"/>
        <v>#VALUE!</v>
      </c>
    </row>
    <row r="24" spans="1:24" ht="14.25" customHeight="1">
      <c r="A24" s="49"/>
      <c r="B24" s="8">
        <v>1</v>
      </c>
      <c r="C24" s="8">
        <f t="shared" si="0"/>
        <v>0.5</v>
      </c>
      <c r="D24" s="19" t="s">
        <v>42</v>
      </c>
      <c r="E24" s="19" t="s">
        <v>43</v>
      </c>
      <c r="F24" s="17" t="s">
        <v>34</v>
      </c>
      <c r="G24" s="21" t="s">
        <v>28</v>
      </c>
      <c r="H24" s="21" t="s">
        <v>29</v>
      </c>
      <c r="I24" s="21" t="s">
        <v>36</v>
      </c>
      <c r="J24" s="8">
        <v>1.3</v>
      </c>
      <c r="K24" s="8">
        <v>1.5</v>
      </c>
      <c r="L24" s="8">
        <f t="shared" si="2"/>
        <v>15.38461538461538</v>
      </c>
      <c r="M24" s="9">
        <v>66.52</v>
      </c>
      <c r="N24" s="9">
        <v>67.709999999999994</v>
      </c>
      <c r="O24" s="10">
        <f t="shared" si="1"/>
        <v>1.7889356584485836</v>
      </c>
      <c r="P24" s="11">
        <v>2.9</v>
      </c>
      <c r="Q24" s="11" t="s">
        <v>31</v>
      </c>
      <c r="R24" s="33" t="s">
        <v>31</v>
      </c>
      <c r="S24" s="37">
        <f t="shared" si="3"/>
        <v>1.1139433523068367</v>
      </c>
      <c r="T24" s="37">
        <f t="shared" si="4"/>
        <v>2.1870866433571443</v>
      </c>
      <c r="U24" s="42">
        <f t="shared" si="5"/>
        <v>2.8229522405474814</v>
      </c>
      <c r="V24" s="41">
        <f t="shared" si="6"/>
        <v>1.2525947208450483</v>
      </c>
      <c r="W24" s="43">
        <f t="shared" si="7"/>
        <v>1.4623979978989561</v>
      </c>
      <c r="X24" s="43" t="e">
        <f t="shared" si="8"/>
        <v>#VALUE!</v>
      </c>
    </row>
    <row r="25" spans="1:24" ht="14.25" customHeight="1">
      <c r="A25" s="49"/>
      <c r="B25" s="8">
        <v>1.5</v>
      </c>
      <c r="C25" s="8">
        <f t="shared" si="0"/>
        <v>0.75</v>
      </c>
      <c r="D25" s="19" t="s">
        <v>42</v>
      </c>
      <c r="E25" s="19" t="s">
        <v>43</v>
      </c>
      <c r="F25" s="17" t="s">
        <v>34</v>
      </c>
      <c r="G25" s="21" t="s">
        <v>28</v>
      </c>
      <c r="H25" s="21" t="s">
        <v>29</v>
      </c>
      <c r="I25" s="21" t="s">
        <v>36</v>
      </c>
      <c r="J25" s="8">
        <v>1.3</v>
      </c>
      <c r="K25" s="8">
        <v>1.2</v>
      </c>
      <c r="L25" s="8">
        <f t="shared" si="2"/>
        <v>-7.6923076923076987</v>
      </c>
      <c r="M25" s="9">
        <v>66.52</v>
      </c>
      <c r="N25" s="9">
        <v>66.12</v>
      </c>
      <c r="O25" s="10">
        <f t="shared" si="1"/>
        <v>-0.60132291040287356</v>
      </c>
      <c r="P25" s="11">
        <v>2.9</v>
      </c>
      <c r="Q25" s="11" t="s">
        <v>31</v>
      </c>
      <c r="R25" s="33" t="s">
        <v>31</v>
      </c>
      <c r="S25" s="37">
        <f t="shared" si="3"/>
        <v>1.1139433523068367</v>
      </c>
      <c r="T25" s="37" t="e">
        <f t="shared" si="4"/>
        <v>#NUM!</v>
      </c>
      <c r="U25" s="42">
        <f t="shared" si="5"/>
        <v>2.8229522405474814</v>
      </c>
      <c r="V25" s="41" t="e">
        <f t="shared" si="6"/>
        <v>#NUM!</v>
      </c>
      <c r="W25" s="43">
        <f t="shared" si="7"/>
        <v>1.4623979978989561</v>
      </c>
      <c r="X25" s="43" t="e">
        <f t="shared" si="8"/>
        <v>#VALUE!</v>
      </c>
    </row>
    <row r="26" spans="1:24" ht="14.25" customHeight="1">
      <c r="A26" s="50"/>
      <c r="B26" s="8">
        <v>2</v>
      </c>
      <c r="C26" s="8">
        <f t="shared" si="0"/>
        <v>1</v>
      </c>
      <c r="D26" s="19" t="s">
        <v>42</v>
      </c>
      <c r="E26" s="19" t="s">
        <v>43</v>
      </c>
      <c r="F26" s="17" t="s">
        <v>34</v>
      </c>
      <c r="G26" s="21" t="s">
        <v>28</v>
      </c>
      <c r="H26" s="21" t="s">
        <v>29</v>
      </c>
      <c r="I26" s="21" t="s">
        <v>36</v>
      </c>
      <c r="J26" s="8">
        <v>1.3</v>
      </c>
      <c r="K26" s="8">
        <v>1.1000000000000001</v>
      </c>
      <c r="L26" s="8">
        <f t="shared" si="2"/>
        <v>-15.38461538461538</v>
      </c>
      <c r="M26" s="9">
        <v>66.52</v>
      </c>
      <c r="N26" s="9">
        <v>37.200000000000003</v>
      </c>
      <c r="O26" s="10">
        <f t="shared" si="1"/>
        <v>-44.076969332531561</v>
      </c>
      <c r="P26" s="11">
        <v>2.9</v>
      </c>
      <c r="Q26" s="11">
        <v>1.28</v>
      </c>
      <c r="R26" s="33">
        <f t="shared" ref="R26:R36" si="10">((Q26-P26)/P26)*100</f>
        <v>-55.862068965517238</v>
      </c>
      <c r="S26" s="37">
        <f t="shared" si="3"/>
        <v>1.1139433523068367</v>
      </c>
      <c r="T26" s="37" t="e">
        <f t="shared" si="4"/>
        <v>#NUM!</v>
      </c>
      <c r="U26" s="42">
        <f t="shared" si="5"/>
        <v>2.8229522405474814</v>
      </c>
      <c r="V26" s="41" t="e">
        <f t="shared" si="6"/>
        <v>#NUM!</v>
      </c>
      <c r="W26" s="43">
        <f t="shared" si="7"/>
        <v>1.4623979978989561</v>
      </c>
      <c r="X26" s="43" t="e">
        <f t="shared" si="8"/>
        <v>#NUM!</v>
      </c>
    </row>
    <row r="27" spans="1:24" ht="14.25" customHeight="1">
      <c r="A27" s="48" t="s">
        <v>44</v>
      </c>
      <c r="B27" s="8">
        <v>2</v>
      </c>
      <c r="C27" s="8">
        <f t="shared" si="0"/>
        <v>1</v>
      </c>
      <c r="D27" s="19" t="s">
        <v>42</v>
      </c>
      <c r="E27" s="19" t="s">
        <v>45</v>
      </c>
      <c r="F27" s="17" t="s">
        <v>34</v>
      </c>
      <c r="G27" s="21" t="s">
        <v>37</v>
      </c>
      <c r="H27" s="21" t="s">
        <v>29</v>
      </c>
      <c r="I27" s="21" t="s">
        <v>46</v>
      </c>
      <c r="J27" s="8">
        <v>3</v>
      </c>
      <c r="K27" s="8">
        <v>2.99</v>
      </c>
      <c r="L27" s="8">
        <f t="shared" si="2"/>
        <v>-0.33333333333332626</v>
      </c>
      <c r="M27" s="9">
        <v>112.5</v>
      </c>
      <c r="N27" s="9">
        <v>110.2</v>
      </c>
      <c r="O27" s="10">
        <f t="shared" si="1"/>
        <v>-2.0444444444444416</v>
      </c>
      <c r="P27" s="11">
        <v>4.5</v>
      </c>
      <c r="Q27" s="11">
        <v>4.2</v>
      </c>
      <c r="R27" s="33">
        <f t="shared" si="10"/>
        <v>-6.6666666666666625</v>
      </c>
      <c r="S27" s="37">
        <f t="shared" si="3"/>
        <v>1.4771212547196624</v>
      </c>
      <c r="T27" s="37" t="e">
        <f t="shared" si="4"/>
        <v>#NUM!</v>
      </c>
      <c r="U27" s="42">
        <f t="shared" si="5"/>
        <v>3.0511525224473814</v>
      </c>
      <c r="V27" s="41" t="e">
        <f t="shared" si="6"/>
        <v>#NUM!</v>
      </c>
      <c r="W27" s="43">
        <f t="shared" si="7"/>
        <v>1.6532125137753437</v>
      </c>
      <c r="X27" s="43" t="e">
        <f t="shared" si="8"/>
        <v>#NUM!</v>
      </c>
    </row>
    <row r="28" spans="1:24" ht="14.25" customHeight="1">
      <c r="A28" s="49"/>
      <c r="B28" s="8">
        <v>4</v>
      </c>
      <c r="C28" s="8">
        <f t="shared" si="0"/>
        <v>2</v>
      </c>
      <c r="D28" s="19" t="s">
        <v>42</v>
      </c>
      <c r="E28" s="19" t="s">
        <v>45</v>
      </c>
      <c r="F28" s="17" t="s">
        <v>34</v>
      </c>
      <c r="G28" s="21" t="s">
        <v>37</v>
      </c>
      <c r="H28" s="21" t="s">
        <v>29</v>
      </c>
      <c r="I28" s="21" t="s">
        <v>46</v>
      </c>
      <c r="J28" s="8">
        <v>3</v>
      </c>
      <c r="K28" s="8">
        <v>2.99</v>
      </c>
      <c r="L28" s="8">
        <f t="shared" si="2"/>
        <v>-0.33333333333332626</v>
      </c>
      <c r="M28" s="9">
        <v>112.5</v>
      </c>
      <c r="N28" s="9">
        <v>105.8</v>
      </c>
      <c r="O28" s="10">
        <f t="shared" si="1"/>
        <v>-5.9555555555555584</v>
      </c>
      <c r="P28" s="11">
        <v>4.5</v>
      </c>
      <c r="Q28" s="11">
        <v>4</v>
      </c>
      <c r="R28" s="33">
        <f t="shared" si="10"/>
        <v>-11.111111111111111</v>
      </c>
      <c r="S28" s="37">
        <f t="shared" si="3"/>
        <v>1.4771212547196624</v>
      </c>
      <c r="T28" s="37" t="e">
        <f t="shared" si="4"/>
        <v>#NUM!</v>
      </c>
      <c r="U28" s="42">
        <f t="shared" si="5"/>
        <v>3.0511525224473814</v>
      </c>
      <c r="V28" s="41" t="e">
        <f t="shared" si="6"/>
        <v>#NUM!</v>
      </c>
      <c r="W28" s="43">
        <f t="shared" si="7"/>
        <v>1.6532125137753437</v>
      </c>
      <c r="X28" s="43" t="e">
        <f t="shared" si="8"/>
        <v>#NUM!</v>
      </c>
    </row>
    <row r="29" spans="1:24" ht="13.5" customHeight="1">
      <c r="A29" s="49"/>
      <c r="B29" s="8">
        <v>6</v>
      </c>
      <c r="C29" s="8">
        <f t="shared" si="0"/>
        <v>3</v>
      </c>
      <c r="D29" s="19" t="s">
        <v>42</v>
      </c>
      <c r="E29" s="19" t="s">
        <v>45</v>
      </c>
      <c r="F29" s="17" t="s">
        <v>34</v>
      </c>
      <c r="G29" s="21" t="s">
        <v>37</v>
      </c>
      <c r="H29" s="21" t="s">
        <v>29</v>
      </c>
      <c r="I29" s="21" t="s">
        <v>46</v>
      </c>
      <c r="J29" s="8">
        <v>3</v>
      </c>
      <c r="K29" s="8">
        <v>2.99</v>
      </c>
      <c r="L29" s="8">
        <f t="shared" ref="L29:L30" si="11">(K30-J29)/J29*100</f>
        <v>-0.33333333333332626</v>
      </c>
      <c r="M29" s="9">
        <v>112.5</v>
      </c>
      <c r="N29" s="9">
        <v>100.3</v>
      </c>
      <c r="O29" s="10">
        <f t="shared" si="1"/>
        <v>-10.844444444444447</v>
      </c>
      <c r="P29" s="11">
        <v>4.5</v>
      </c>
      <c r="Q29" s="11">
        <v>3.8</v>
      </c>
      <c r="R29" s="33">
        <f t="shared" si="10"/>
        <v>-15.555555555555559</v>
      </c>
      <c r="S29" s="37">
        <f t="shared" si="3"/>
        <v>1.4771212547196624</v>
      </c>
      <c r="T29" s="37" t="e">
        <f t="shared" si="4"/>
        <v>#NUM!</v>
      </c>
      <c r="U29" s="42">
        <f t="shared" si="5"/>
        <v>3.0511525224473814</v>
      </c>
      <c r="V29" s="41" t="e">
        <f t="shared" si="6"/>
        <v>#NUM!</v>
      </c>
      <c r="W29" s="43">
        <f t="shared" si="7"/>
        <v>1.6532125137753437</v>
      </c>
      <c r="X29" s="43" t="e">
        <f t="shared" si="8"/>
        <v>#NUM!</v>
      </c>
    </row>
    <row r="30" spans="1:24" ht="13.5" customHeight="1">
      <c r="A30" s="49"/>
      <c r="B30" s="8">
        <v>8</v>
      </c>
      <c r="C30" s="8">
        <f t="shared" si="0"/>
        <v>4</v>
      </c>
      <c r="D30" s="19" t="s">
        <v>42</v>
      </c>
      <c r="E30" s="19" t="s">
        <v>45</v>
      </c>
      <c r="F30" s="17" t="s">
        <v>34</v>
      </c>
      <c r="G30" s="21" t="s">
        <v>37</v>
      </c>
      <c r="H30" s="21" t="s">
        <v>29</v>
      </c>
      <c r="I30" s="21" t="s">
        <v>46</v>
      </c>
      <c r="J30" s="8">
        <v>3</v>
      </c>
      <c r="K30" s="8">
        <v>2.99</v>
      </c>
      <c r="L30" s="8">
        <f t="shared" si="11"/>
        <v>-0.33333333333332626</v>
      </c>
      <c r="M30" s="9">
        <v>112.5</v>
      </c>
      <c r="N30" s="9">
        <v>95.7</v>
      </c>
      <c r="O30" s="10">
        <f t="shared" si="1"/>
        <v>-14.933333333333332</v>
      </c>
      <c r="P30" s="11">
        <v>4.5</v>
      </c>
      <c r="Q30" s="11">
        <v>3.6</v>
      </c>
      <c r="R30" s="33">
        <f t="shared" si="10"/>
        <v>-20</v>
      </c>
      <c r="S30" s="37">
        <f t="shared" si="3"/>
        <v>1.4771212547196624</v>
      </c>
      <c r="T30" s="37" t="e">
        <f t="shared" si="4"/>
        <v>#NUM!</v>
      </c>
      <c r="U30" s="42">
        <f t="shared" si="5"/>
        <v>3.0511525224473814</v>
      </c>
      <c r="V30" s="41" t="e">
        <f t="shared" si="6"/>
        <v>#NUM!</v>
      </c>
      <c r="W30" s="43">
        <f t="shared" si="7"/>
        <v>1.6532125137753437</v>
      </c>
      <c r="X30" s="43" t="e">
        <f t="shared" si="8"/>
        <v>#NUM!</v>
      </c>
    </row>
    <row r="31" spans="1:24" ht="13.5" customHeight="1">
      <c r="A31" s="50"/>
      <c r="B31" s="8">
        <v>10</v>
      </c>
      <c r="C31" s="8">
        <f t="shared" si="0"/>
        <v>5</v>
      </c>
      <c r="D31" s="19" t="s">
        <v>42</v>
      </c>
      <c r="E31" s="19" t="s">
        <v>45</v>
      </c>
      <c r="F31" s="17" t="s">
        <v>34</v>
      </c>
      <c r="G31" s="21" t="s">
        <v>37</v>
      </c>
      <c r="H31" s="21" t="s">
        <v>29</v>
      </c>
      <c r="I31" s="21" t="s">
        <v>46</v>
      </c>
      <c r="J31" s="12">
        <v>3</v>
      </c>
      <c r="K31" s="12">
        <v>2.99</v>
      </c>
      <c r="L31" s="12">
        <f t="shared" ref="L31:L60" si="12">(K31-J31)/J31*100</f>
        <v>-0.33333333333332626</v>
      </c>
      <c r="M31" s="13">
        <v>112.5</v>
      </c>
      <c r="N31" s="13">
        <v>91.2</v>
      </c>
      <c r="O31" s="14">
        <f t="shared" si="1"/>
        <v>-18.93333333333333</v>
      </c>
      <c r="P31" s="15">
        <v>4.5</v>
      </c>
      <c r="Q31" s="15">
        <v>3.4</v>
      </c>
      <c r="R31" s="34">
        <f t="shared" si="10"/>
        <v>-24.444444444444446</v>
      </c>
      <c r="S31" s="37">
        <f t="shared" si="3"/>
        <v>1.4771212547196624</v>
      </c>
      <c r="T31" s="37" t="e">
        <f t="shared" si="4"/>
        <v>#NUM!</v>
      </c>
      <c r="U31" s="42">
        <f t="shared" si="5"/>
        <v>3.0511525224473814</v>
      </c>
      <c r="V31" s="41" t="e">
        <f t="shared" si="6"/>
        <v>#NUM!</v>
      </c>
      <c r="W31" s="43">
        <f t="shared" si="7"/>
        <v>1.6532125137753437</v>
      </c>
      <c r="X31" s="43" t="e">
        <f t="shared" si="8"/>
        <v>#NUM!</v>
      </c>
    </row>
    <row r="32" spans="1:24" ht="14.25" customHeight="1">
      <c r="A32" s="48" t="s">
        <v>47</v>
      </c>
      <c r="B32" s="8">
        <v>1</v>
      </c>
      <c r="C32" s="8">
        <f t="shared" si="0"/>
        <v>0.5</v>
      </c>
      <c r="D32" s="19" t="s">
        <v>25</v>
      </c>
      <c r="E32" s="19" t="s">
        <v>48</v>
      </c>
      <c r="F32" s="17" t="s">
        <v>34</v>
      </c>
      <c r="G32" s="21" t="s">
        <v>37</v>
      </c>
      <c r="H32" s="21" t="s">
        <v>29</v>
      </c>
      <c r="I32" s="21" t="s">
        <v>36</v>
      </c>
      <c r="J32" s="8">
        <v>4.2</v>
      </c>
      <c r="K32" s="8">
        <v>4.4000000000000004</v>
      </c>
      <c r="L32" s="8">
        <f t="shared" si="12"/>
        <v>4.7619047619047654</v>
      </c>
      <c r="M32" s="9">
        <v>63</v>
      </c>
      <c r="N32" s="9" t="s">
        <v>31</v>
      </c>
      <c r="O32" s="14" t="s">
        <v>31</v>
      </c>
      <c r="P32" s="11">
        <v>1.248</v>
      </c>
      <c r="Q32" s="11">
        <v>0.55000000000000004</v>
      </c>
      <c r="R32" s="33">
        <f t="shared" si="10"/>
        <v>-55.929487179487182</v>
      </c>
      <c r="S32" s="37">
        <f t="shared" si="3"/>
        <v>1.6232492903979006</v>
      </c>
      <c r="T32" s="37">
        <f t="shared" si="4"/>
        <v>1.6777807052660811</v>
      </c>
      <c r="U32" s="42">
        <f t="shared" si="5"/>
        <v>2.7993405494535817</v>
      </c>
      <c r="V32" s="41" t="e">
        <f t="shared" si="6"/>
        <v>#VALUE!</v>
      </c>
      <c r="W32" s="43">
        <f t="shared" si="7"/>
        <v>1.0962145853464051</v>
      </c>
      <c r="X32" s="43" t="e">
        <f t="shared" si="8"/>
        <v>#NUM!</v>
      </c>
    </row>
    <row r="33" spans="1:24" ht="14.25" customHeight="1">
      <c r="A33" s="49"/>
      <c r="B33" s="8">
        <v>3</v>
      </c>
      <c r="C33" s="8">
        <f t="shared" si="0"/>
        <v>1.5</v>
      </c>
      <c r="D33" s="19" t="s">
        <v>25</v>
      </c>
      <c r="E33" s="19" t="s">
        <v>48</v>
      </c>
      <c r="F33" s="17" t="s">
        <v>34</v>
      </c>
      <c r="G33" s="21" t="s">
        <v>37</v>
      </c>
      <c r="H33" s="21" t="s">
        <v>29</v>
      </c>
      <c r="I33" s="21" t="s">
        <v>36</v>
      </c>
      <c r="J33" s="8">
        <v>4.2</v>
      </c>
      <c r="K33" s="8">
        <v>4.5</v>
      </c>
      <c r="L33" s="8">
        <f t="shared" si="12"/>
        <v>7.1428571428571379</v>
      </c>
      <c r="M33" s="9">
        <v>63</v>
      </c>
      <c r="N33" s="9" t="s">
        <v>31</v>
      </c>
      <c r="O33" s="10" t="s">
        <v>31</v>
      </c>
      <c r="P33" s="11">
        <v>1.248</v>
      </c>
      <c r="Q33" s="11">
        <v>0.29499999999999998</v>
      </c>
      <c r="R33" s="33">
        <f t="shared" si="10"/>
        <v>-76.362179487179489</v>
      </c>
      <c r="S33" s="37">
        <f t="shared" si="3"/>
        <v>1.6232492903979006</v>
      </c>
      <c r="T33" s="37">
        <f t="shared" si="4"/>
        <v>1.8538719643217616</v>
      </c>
      <c r="U33" s="42">
        <f t="shared" si="5"/>
        <v>2.7993405494535817</v>
      </c>
      <c r="V33" s="41" t="e">
        <f t="shared" si="6"/>
        <v>#VALUE!</v>
      </c>
      <c r="W33" s="43">
        <f t="shared" si="7"/>
        <v>1.0962145853464051</v>
      </c>
      <c r="X33" s="43" t="e">
        <f t="shared" si="8"/>
        <v>#NUM!</v>
      </c>
    </row>
    <row r="34" spans="1:24" ht="14.25" customHeight="1">
      <c r="A34" s="49"/>
      <c r="B34" s="8">
        <v>5</v>
      </c>
      <c r="C34" s="8">
        <f t="shared" si="0"/>
        <v>2.5</v>
      </c>
      <c r="D34" s="19" t="s">
        <v>25</v>
      </c>
      <c r="E34" s="19" t="s">
        <v>48</v>
      </c>
      <c r="F34" s="17" t="s">
        <v>34</v>
      </c>
      <c r="G34" s="21" t="s">
        <v>37</v>
      </c>
      <c r="H34" s="21" t="s">
        <v>29</v>
      </c>
      <c r="I34" s="21" t="s">
        <v>36</v>
      </c>
      <c r="J34" s="8">
        <v>4.2</v>
      </c>
      <c r="K34" s="8">
        <v>4.8</v>
      </c>
      <c r="L34" s="8">
        <f t="shared" si="12"/>
        <v>14.285714285714276</v>
      </c>
      <c r="M34" s="9">
        <v>63</v>
      </c>
      <c r="N34" s="9">
        <v>102.69</v>
      </c>
      <c r="O34" s="10">
        <f>(N34-M34)/M34*100</f>
        <v>63</v>
      </c>
      <c r="P34" s="11">
        <v>1.248</v>
      </c>
      <c r="Q34" s="11">
        <v>0.106</v>
      </c>
      <c r="R34" s="33">
        <f t="shared" si="10"/>
        <v>-91.506410256410248</v>
      </c>
      <c r="S34" s="37">
        <f t="shared" si="3"/>
        <v>1.6232492903979006</v>
      </c>
      <c r="T34" s="37">
        <f t="shared" si="4"/>
        <v>2.1549019599857426</v>
      </c>
      <c r="U34" s="42">
        <f t="shared" si="5"/>
        <v>2.7993405494535817</v>
      </c>
      <c r="V34" s="41">
        <f t="shared" si="6"/>
        <v>2.7993405494535817</v>
      </c>
      <c r="W34" s="43">
        <f t="shared" si="7"/>
        <v>1.0962145853464051</v>
      </c>
      <c r="X34" s="43" t="e">
        <f t="shared" si="8"/>
        <v>#NUM!</v>
      </c>
    </row>
    <row r="35" spans="1:24" ht="14.25" customHeight="1">
      <c r="A35" s="49"/>
      <c r="B35" s="8">
        <v>7</v>
      </c>
      <c r="C35" s="8">
        <f t="shared" si="0"/>
        <v>3.5</v>
      </c>
      <c r="D35" s="19" t="s">
        <v>25</v>
      </c>
      <c r="E35" s="19" t="s">
        <v>48</v>
      </c>
      <c r="F35" s="17" t="s">
        <v>34</v>
      </c>
      <c r="G35" s="21" t="s">
        <v>37</v>
      </c>
      <c r="H35" s="21" t="s">
        <v>29</v>
      </c>
      <c r="I35" s="21" t="s">
        <v>36</v>
      </c>
      <c r="J35" s="8">
        <v>4.2</v>
      </c>
      <c r="K35" s="8">
        <v>4.9000000000000004</v>
      </c>
      <c r="L35" s="8">
        <f t="shared" si="12"/>
        <v>16.666666666666671</v>
      </c>
      <c r="M35" s="9">
        <v>63</v>
      </c>
      <c r="N35" s="9" t="s">
        <v>31</v>
      </c>
      <c r="O35" s="10" t="s">
        <v>31</v>
      </c>
      <c r="P35" s="11">
        <v>1.248</v>
      </c>
      <c r="Q35" s="11">
        <v>0.64</v>
      </c>
      <c r="R35" s="33">
        <f t="shared" si="10"/>
        <v>-48.717948717948715</v>
      </c>
      <c r="S35" s="37">
        <f t="shared" si="3"/>
        <v>1.6232492903979006</v>
      </c>
      <c r="T35" s="37">
        <f t="shared" si="4"/>
        <v>2.2218487496163566</v>
      </c>
      <c r="U35" s="42">
        <f t="shared" si="5"/>
        <v>2.7993405494535817</v>
      </c>
      <c r="V35" s="41" t="e">
        <f t="shared" si="6"/>
        <v>#VALUE!</v>
      </c>
      <c r="W35" s="43">
        <f t="shared" si="7"/>
        <v>1.0962145853464051</v>
      </c>
      <c r="X35" s="43" t="e">
        <f t="shared" si="8"/>
        <v>#NUM!</v>
      </c>
    </row>
    <row r="36" spans="1:24" ht="14.25" customHeight="1">
      <c r="A36" s="50"/>
      <c r="B36" s="8">
        <v>9</v>
      </c>
      <c r="C36" s="8">
        <f t="shared" si="0"/>
        <v>4.5</v>
      </c>
      <c r="D36" s="19" t="s">
        <v>25</v>
      </c>
      <c r="E36" s="19" t="s">
        <v>48</v>
      </c>
      <c r="F36" s="17" t="s">
        <v>34</v>
      </c>
      <c r="G36" s="21" t="s">
        <v>37</v>
      </c>
      <c r="H36" s="21" t="s">
        <v>29</v>
      </c>
      <c r="I36" s="21" t="s">
        <v>36</v>
      </c>
      <c r="J36" s="8">
        <v>4.2</v>
      </c>
      <c r="K36" s="8">
        <v>4.95</v>
      </c>
      <c r="L36" s="8">
        <f t="shared" si="12"/>
        <v>17.857142857142858</v>
      </c>
      <c r="M36" s="9">
        <v>63</v>
      </c>
      <c r="N36" s="9" t="s">
        <v>31</v>
      </c>
      <c r="O36" s="10" t="s">
        <v>31</v>
      </c>
      <c r="P36" s="11">
        <v>1.248</v>
      </c>
      <c r="Q36" s="11">
        <v>0.46</v>
      </c>
      <c r="R36" s="33">
        <f t="shared" si="10"/>
        <v>-63.141025641025635</v>
      </c>
      <c r="S36" s="37">
        <f t="shared" si="3"/>
        <v>1.6232492903979006</v>
      </c>
      <c r="T36" s="37">
        <f t="shared" si="4"/>
        <v>2.2518119729937998</v>
      </c>
      <c r="U36" s="42">
        <f t="shared" si="5"/>
        <v>2.7993405494535817</v>
      </c>
      <c r="V36" s="41" t="e">
        <f t="shared" si="6"/>
        <v>#VALUE!</v>
      </c>
      <c r="W36" s="43">
        <f t="shared" si="7"/>
        <v>1.0962145853464051</v>
      </c>
      <c r="X36" s="43" t="e">
        <f t="shared" si="8"/>
        <v>#NUM!</v>
      </c>
    </row>
    <row r="37" spans="1:24" ht="14.25" customHeight="1">
      <c r="A37" s="45" t="s">
        <v>49</v>
      </c>
      <c r="B37" s="8">
        <v>0.2</v>
      </c>
      <c r="C37" s="8">
        <f t="shared" si="0"/>
        <v>0.1</v>
      </c>
      <c r="D37" s="19" t="s">
        <v>42</v>
      </c>
      <c r="E37" s="19" t="s">
        <v>50</v>
      </c>
      <c r="F37" s="17" t="s">
        <v>34</v>
      </c>
      <c r="G37" s="15" t="s">
        <v>28</v>
      </c>
      <c r="H37" s="21" t="s">
        <v>29</v>
      </c>
      <c r="I37" s="21" t="s">
        <v>51</v>
      </c>
      <c r="J37" s="8">
        <v>0.54</v>
      </c>
      <c r="K37" s="8">
        <v>1.1200000000000001</v>
      </c>
      <c r="L37" s="8">
        <f t="shared" si="12"/>
        <v>107.40740740740742</v>
      </c>
      <c r="M37" s="9">
        <v>19.5</v>
      </c>
      <c r="N37" s="9">
        <v>28.7</v>
      </c>
      <c r="O37" s="10">
        <f t="shared" ref="O37:O40" si="13">(N37-M37)/M37*100</f>
        <v>47.179487179487175</v>
      </c>
      <c r="P37" s="11" t="s">
        <v>31</v>
      </c>
      <c r="Q37" s="11" t="s">
        <v>31</v>
      </c>
      <c r="R37" s="33" t="s">
        <v>31</v>
      </c>
      <c r="S37" s="37">
        <f t="shared" si="3"/>
        <v>0.7323937598229685</v>
      </c>
      <c r="T37" s="37">
        <f t="shared" si="4"/>
        <v>3.0310342337399687</v>
      </c>
      <c r="U37" s="42">
        <f t="shared" si="5"/>
        <v>2.2900346113625178</v>
      </c>
      <c r="V37" s="41">
        <f t="shared" si="6"/>
        <v>2.6737532159830373</v>
      </c>
      <c r="W37" s="43" t="e">
        <f t="shared" si="7"/>
        <v>#VALUE!</v>
      </c>
      <c r="X37" s="43" t="e">
        <f t="shared" si="8"/>
        <v>#VALUE!</v>
      </c>
    </row>
    <row r="38" spans="1:24" ht="14.25" customHeight="1">
      <c r="A38" s="49"/>
      <c r="B38" s="8">
        <v>0.5</v>
      </c>
      <c r="C38" s="8">
        <f t="shared" si="0"/>
        <v>0.25</v>
      </c>
      <c r="D38" s="19" t="s">
        <v>42</v>
      </c>
      <c r="E38" s="19" t="s">
        <v>50</v>
      </c>
      <c r="F38" s="17" t="s">
        <v>34</v>
      </c>
      <c r="G38" s="15" t="s">
        <v>37</v>
      </c>
      <c r="H38" s="21" t="s">
        <v>29</v>
      </c>
      <c r="I38" s="21" t="s">
        <v>51</v>
      </c>
      <c r="J38" s="8">
        <v>0.54</v>
      </c>
      <c r="K38" s="8">
        <v>0.97</v>
      </c>
      <c r="L38" s="8">
        <f t="shared" si="12"/>
        <v>79.629629629629619</v>
      </c>
      <c r="M38" s="9">
        <v>19.5</v>
      </c>
      <c r="N38" s="9">
        <v>26.8</v>
      </c>
      <c r="O38" s="10">
        <f t="shared" si="13"/>
        <v>37.435897435897445</v>
      </c>
      <c r="P38" s="11" t="s">
        <v>31</v>
      </c>
      <c r="Q38" s="11" t="s">
        <v>31</v>
      </c>
      <c r="R38" s="33" t="s">
        <v>31</v>
      </c>
      <c r="S38" s="37">
        <f t="shared" si="3"/>
        <v>0.7323937598229685</v>
      </c>
      <c r="T38" s="37">
        <f t="shared" si="4"/>
        <v>2.901074695756618</v>
      </c>
      <c r="U38" s="42">
        <f t="shared" si="5"/>
        <v>2.2900346113625178</v>
      </c>
      <c r="V38" s="41">
        <f t="shared" si="6"/>
        <v>2.573288248757938</v>
      </c>
      <c r="W38" s="43" t="e">
        <f t="shared" si="7"/>
        <v>#VALUE!</v>
      </c>
      <c r="X38" s="43" t="e">
        <f t="shared" si="8"/>
        <v>#VALUE!</v>
      </c>
    </row>
    <row r="39" spans="1:24" ht="14.25" customHeight="1">
      <c r="A39" s="49"/>
      <c r="B39" s="8">
        <v>1</v>
      </c>
      <c r="C39" s="8">
        <f t="shared" si="0"/>
        <v>0.5</v>
      </c>
      <c r="D39" s="19" t="s">
        <v>42</v>
      </c>
      <c r="E39" s="19" t="s">
        <v>50</v>
      </c>
      <c r="F39" s="17" t="s">
        <v>34</v>
      </c>
      <c r="G39" s="15" t="s">
        <v>37</v>
      </c>
      <c r="H39" s="21" t="s">
        <v>29</v>
      </c>
      <c r="I39" s="21" t="s">
        <v>51</v>
      </c>
      <c r="J39" s="8">
        <v>0.54</v>
      </c>
      <c r="K39" s="8">
        <v>0.82</v>
      </c>
      <c r="L39" s="8">
        <f t="shared" si="12"/>
        <v>51.851851851851841</v>
      </c>
      <c r="M39" s="9">
        <v>19.5</v>
      </c>
      <c r="N39" s="9">
        <v>25.4</v>
      </c>
      <c r="O39" s="10">
        <f t="shared" si="13"/>
        <v>30.256410256410248</v>
      </c>
      <c r="P39" s="11" t="s">
        <v>31</v>
      </c>
      <c r="Q39" s="11" t="s">
        <v>31</v>
      </c>
      <c r="R39" s="33" t="s">
        <v>31</v>
      </c>
      <c r="S39" s="37">
        <f t="shared" si="3"/>
        <v>0.7323937598229685</v>
      </c>
      <c r="T39" s="37">
        <f t="shared" si="4"/>
        <v>2.7147642715192504</v>
      </c>
      <c r="U39" s="42">
        <f t="shared" si="5"/>
        <v>2.2900346113625178</v>
      </c>
      <c r="V39" s="41">
        <f t="shared" si="6"/>
        <v>2.4808174002796259</v>
      </c>
      <c r="W39" s="43" t="e">
        <f t="shared" si="7"/>
        <v>#VALUE!</v>
      </c>
      <c r="X39" s="43" t="e">
        <f t="shared" si="8"/>
        <v>#VALUE!</v>
      </c>
    </row>
    <row r="40" spans="1:24" ht="14.25" customHeight="1">
      <c r="A40" s="50"/>
      <c r="B40" s="8">
        <v>1.5</v>
      </c>
      <c r="C40" s="8">
        <f t="shared" si="0"/>
        <v>0.75</v>
      </c>
      <c r="D40" s="19" t="s">
        <v>42</v>
      </c>
      <c r="E40" s="19" t="s">
        <v>50</v>
      </c>
      <c r="F40" s="17" t="s">
        <v>34</v>
      </c>
      <c r="G40" s="15" t="s">
        <v>52</v>
      </c>
      <c r="H40" s="21" t="s">
        <v>29</v>
      </c>
      <c r="I40" s="21" t="s">
        <v>51</v>
      </c>
      <c r="J40" s="8">
        <v>0.54</v>
      </c>
      <c r="K40" s="8">
        <v>0.59</v>
      </c>
      <c r="L40" s="8">
        <f t="shared" si="12"/>
        <v>9.2592592592592471</v>
      </c>
      <c r="M40" s="9">
        <v>19.5</v>
      </c>
      <c r="N40" s="9">
        <v>18.100000000000001</v>
      </c>
      <c r="O40" s="10">
        <f t="shared" si="13"/>
        <v>-7.1794871794871717</v>
      </c>
      <c r="P40" s="11" t="s">
        <v>31</v>
      </c>
      <c r="Q40" s="11" t="s">
        <v>31</v>
      </c>
      <c r="R40" s="33" t="s">
        <v>31</v>
      </c>
      <c r="S40" s="37">
        <f t="shared" si="3"/>
        <v>0.7323937598229685</v>
      </c>
      <c r="T40" s="37">
        <f t="shared" si="4"/>
        <v>1.9665762445130497</v>
      </c>
      <c r="U40" s="42">
        <f t="shared" si="5"/>
        <v>2.2900346113625178</v>
      </c>
      <c r="V40" s="41" t="e">
        <f t="shared" si="6"/>
        <v>#NUM!</v>
      </c>
      <c r="W40" s="43" t="e">
        <f t="shared" si="7"/>
        <v>#VALUE!</v>
      </c>
      <c r="X40" s="43" t="e">
        <f t="shared" si="8"/>
        <v>#VALUE!</v>
      </c>
    </row>
    <row r="41" spans="1:24" ht="14" customHeight="1">
      <c r="A41" s="45" t="s">
        <v>53</v>
      </c>
      <c r="B41" s="8">
        <v>1</v>
      </c>
      <c r="C41" s="8">
        <f t="shared" si="0"/>
        <v>0.5</v>
      </c>
      <c r="D41" s="19" t="s">
        <v>25</v>
      </c>
      <c r="E41" s="19" t="s">
        <v>33</v>
      </c>
      <c r="F41" s="17" t="s">
        <v>34</v>
      </c>
      <c r="G41" s="17" t="s">
        <v>37</v>
      </c>
      <c r="H41" s="21" t="s">
        <v>54</v>
      </c>
      <c r="I41" s="21" t="s">
        <v>36</v>
      </c>
      <c r="J41" s="8">
        <v>2.17</v>
      </c>
      <c r="K41" s="8">
        <v>2.35</v>
      </c>
      <c r="L41" s="8">
        <f t="shared" si="12"/>
        <v>8.2949308755760445</v>
      </c>
      <c r="M41" s="9" t="s">
        <v>31</v>
      </c>
      <c r="N41" s="9" t="s">
        <v>31</v>
      </c>
      <c r="O41" s="9" t="s">
        <v>31</v>
      </c>
      <c r="P41" s="11" t="s">
        <v>31</v>
      </c>
      <c r="Q41" s="11" t="s">
        <v>31</v>
      </c>
      <c r="R41" s="33" t="s">
        <v>31</v>
      </c>
      <c r="S41" s="37">
        <f t="shared" si="3"/>
        <v>1.3364597338485296</v>
      </c>
      <c r="T41" s="37">
        <f t="shared" si="4"/>
        <v>1.9188127712547769</v>
      </c>
      <c r="U41" s="42" t="e">
        <f t="shared" si="5"/>
        <v>#VALUE!</v>
      </c>
      <c r="V41" s="41" t="e">
        <f t="shared" si="6"/>
        <v>#VALUE!</v>
      </c>
      <c r="W41" s="43" t="e">
        <f t="shared" si="7"/>
        <v>#VALUE!</v>
      </c>
      <c r="X41" s="43" t="e">
        <f t="shared" si="8"/>
        <v>#VALUE!</v>
      </c>
    </row>
    <row r="42" spans="1:24" ht="14" customHeight="1">
      <c r="A42" s="49"/>
      <c r="B42" s="8">
        <v>3</v>
      </c>
      <c r="C42" s="8">
        <f t="shared" si="0"/>
        <v>1.5</v>
      </c>
      <c r="D42" s="19" t="s">
        <v>25</v>
      </c>
      <c r="E42" s="19" t="s">
        <v>33</v>
      </c>
      <c r="F42" s="17" t="s">
        <v>34</v>
      </c>
      <c r="G42" s="17" t="s">
        <v>37</v>
      </c>
      <c r="H42" s="21" t="s">
        <v>54</v>
      </c>
      <c r="I42" s="21" t="s">
        <v>36</v>
      </c>
      <c r="J42" s="8">
        <v>2.17</v>
      </c>
      <c r="K42" s="8">
        <v>2.5499999999999998</v>
      </c>
      <c r="L42" s="8">
        <f t="shared" si="12"/>
        <v>17.511520737327185</v>
      </c>
      <c r="M42" s="9" t="s">
        <v>31</v>
      </c>
      <c r="N42" s="9" t="s">
        <v>31</v>
      </c>
      <c r="O42" s="9" t="s">
        <v>31</v>
      </c>
      <c r="P42" s="11" t="s">
        <v>31</v>
      </c>
      <c r="Q42" s="11" t="s">
        <v>31</v>
      </c>
      <c r="R42" s="33" t="s">
        <v>31</v>
      </c>
      <c r="S42" s="37">
        <f t="shared" si="3"/>
        <v>1.3364597338485296</v>
      </c>
      <c r="T42" s="37">
        <f t="shared" si="4"/>
        <v>2.2433238627682806</v>
      </c>
      <c r="U42" s="42" t="e">
        <f t="shared" si="5"/>
        <v>#VALUE!</v>
      </c>
      <c r="V42" s="41" t="e">
        <f t="shared" si="6"/>
        <v>#VALUE!</v>
      </c>
      <c r="W42" s="43" t="e">
        <f t="shared" si="7"/>
        <v>#VALUE!</v>
      </c>
      <c r="X42" s="43" t="e">
        <f t="shared" si="8"/>
        <v>#VALUE!</v>
      </c>
    </row>
    <row r="43" spans="1:24" ht="14" customHeight="1">
      <c r="A43" s="50"/>
      <c r="B43" s="8">
        <v>5</v>
      </c>
      <c r="C43" s="8">
        <f t="shared" si="0"/>
        <v>2.5</v>
      </c>
      <c r="D43" s="19" t="s">
        <v>25</v>
      </c>
      <c r="E43" s="19" t="s">
        <v>33</v>
      </c>
      <c r="F43" s="17" t="s">
        <v>34</v>
      </c>
      <c r="G43" s="17" t="s">
        <v>38</v>
      </c>
      <c r="H43" s="21" t="s">
        <v>54</v>
      </c>
      <c r="I43" s="21" t="s">
        <v>36</v>
      </c>
      <c r="J43" s="8">
        <v>2.17</v>
      </c>
      <c r="K43" s="8">
        <v>2.4500000000000002</v>
      </c>
      <c r="L43" s="8">
        <f t="shared" si="12"/>
        <v>12.903225806451623</v>
      </c>
      <c r="M43" s="9" t="s">
        <v>31</v>
      </c>
      <c r="N43" s="9" t="s">
        <v>31</v>
      </c>
      <c r="O43" s="9" t="s">
        <v>31</v>
      </c>
      <c r="P43" s="11" t="s">
        <v>31</v>
      </c>
      <c r="Q43" s="11" t="s">
        <v>31</v>
      </c>
      <c r="R43" s="33" t="s">
        <v>31</v>
      </c>
      <c r="S43" s="37">
        <f t="shared" si="3"/>
        <v>1.3364597338485296</v>
      </c>
      <c r="T43" s="37">
        <f t="shared" si="4"/>
        <v>2.1106982974936899</v>
      </c>
      <c r="U43" s="42" t="e">
        <f t="shared" si="5"/>
        <v>#VALUE!</v>
      </c>
      <c r="V43" s="41" t="e">
        <f t="shared" si="6"/>
        <v>#VALUE!</v>
      </c>
      <c r="W43" s="43" t="e">
        <f t="shared" si="7"/>
        <v>#VALUE!</v>
      </c>
      <c r="X43" s="43" t="e">
        <f t="shared" si="8"/>
        <v>#VALUE!</v>
      </c>
    </row>
    <row r="44" spans="1:24" ht="14.25" customHeight="1">
      <c r="A44" s="48" t="s">
        <v>55</v>
      </c>
      <c r="B44" s="8">
        <v>1</v>
      </c>
      <c r="C44" s="8">
        <f t="shared" si="0"/>
        <v>0.5</v>
      </c>
      <c r="D44" s="19" t="s">
        <v>25</v>
      </c>
      <c r="E44" s="19" t="s">
        <v>56</v>
      </c>
      <c r="F44" s="17" t="s">
        <v>27</v>
      </c>
      <c r="G44" s="17" t="s">
        <v>37</v>
      </c>
      <c r="H44" s="21" t="s">
        <v>29</v>
      </c>
      <c r="I44" s="21" t="s">
        <v>36</v>
      </c>
      <c r="J44" s="8">
        <v>2.1</v>
      </c>
      <c r="K44" s="8">
        <v>2.5619999999999998</v>
      </c>
      <c r="L44" s="8">
        <f t="shared" si="12"/>
        <v>21.999999999999986</v>
      </c>
      <c r="M44" s="9" t="s">
        <v>31</v>
      </c>
      <c r="N44" s="9" t="s">
        <v>31</v>
      </c>
      <c r="O44" s="9" t="s">
        <v>31</v>
      </c>
      <c r="P44" s="11" t="s">
        <v>31</v>
      </c>
      <c r="Q44" s="11" t="s">
        <v>31</v>
      </c>
      <c r="R44" s="33" t="s">
        <v>31</v>
      </c>
      <c r="S44" s="37">
        <f t="shared" si="3"/>
        <v>1.3222192947339193</v>
      </c>
      <c r="T44" s="37">
        <f t="shared" si="4"/>
        <v>2.3424226808222062</v>
      </c>
      <c r="U44" s="42" t="e">
        <f t="shared" si="5"/>
        <v>#VALUE!</v>
      </c>
      <c r="V44" s="41" t="e">
        <f t="shared" si="6"/>
        <v>#VALUE!</v>
      </c>
      <c r="W44" s="43" t="e">
        <f t="shared" si="7"/>
        <v>#VALUE!</v>
      </c>
      <c r="X44" s="43" t="e">
        <f t="shared" si="8"/>
        <v>#VALUE!</v>
      </c>
    </row>
    <row r="45" spans="1:24" ht="14.25" customHeight="1">
      <c r="A45" s="54"/>
      <c r="B45" s="8">
        <v>3</v>
      </c>
      <c r="C45" s="8">
        <f t="shared" si="0"/>
        <v>1.5</v>
      </c>
      <c r="D45" s="19" t="s">
        <v>25</v>
      </c>
      <c r="E45" s="19" t="s">
        <v>56</v>
      </c>
      <c r="F45" s="17" t="s">
        <v>27</v>
      </c>
      <c r="G45" s="17" t="s">
        <v>37</v>
      </c>
      <c r="H45" s="21" t="s">
        <v>29</v>
      </c>
      <c r="I45" s="21" t="s">
        <v>36</v>
      </c>
      <c r="J45" s="8">
        <v>2.1</v>
      </c>
      <c r="K45" s="8">
        <v>3.024</v>
      </c>
      <c r="L45" s="8">
        <f t="shared" si="12"/>
        <v>43.999999999999993</v>
      </c>
      <c r="M45" s="9" t="s">
        <v>31</v>
      </c>
      <c r="N45" s="9" t="s">
        <v>31</v>
      </c>
      <c r="O45" s="9" t="s">
        <v>31</v>
      </c>
      <c r="P45" s="11" t="s">
        <v>31</v>
      </c>
      <c r="Q45" s="11" t="s">
        <v>31</v>
      </c>
      <c r="R45" s="33" t="s">
        <v>31</v>
      </c>
      <c r="S45" s="37">
        <f t="shared" si="3"/>
        <v>1.3222192947339193</v>
      </c>
      <c r="T45" s="37">
        <f t="shared" si="4"/>
        <v>2.6434526764861874</v>
      </c>
      <c r="U45" s="42" t="e">
        <f t="shared" si="5"/>
        <v>#VALUE!</v>
      </c>
      <c r="V45" s="41" t="e">
        <f t="shared" si="6"/>
        <v>#VALUE!</v>
      </c>
      <c r="W45" s="43" t="e">
        <f t="shared" si="7"/>
        <v>#VALUE!</v>
      </c>
      <c r="X45" s="43" t="e">
        <f t="shared" si="8"/>
        <v>#VALUE!</v>
      </c>
    </row>
    <row r="46" spans="1:24" ht="14.25" customHeight="1">
      <c r="A46" s="54"/>
      <c r="B46" s="8">
        <v>5</v>
      </c>
      <c r="C46" s="8">
        <f t="shared" si="0"/>
        <v>2.5</v>
      </c>
      <c r="D46" s="19" t="s">
        <v>25</v>
      </c>
      <c r="E46" s="19" t="s">
        <v>56</v>
      </c>
      <c r="F46" s="17" t="s">
        <v>27</v>
      </c>
      <c r="G46" s="17" t="s">
        <v>37</v>
      </c>
      <c r="H46" s="21" t="s">
        <v>29</v>
      </c>
      <c r="I46" s="21" t="s">
        <v>36</v>
      </c>
      <c r="J46" s="8">
        <v>2.1</v>
      </c>
      <c r="K46" s="8">
        <v>3.32</v>
      </c>
      <c r="L46" s="8">
        <f t="shared" si="12"/>
        <v>58.095238095238081</v>
      </c>
      <c r="M46" s="9" t="s">
        <v>31</v>
      </c>
      <c r="N46" s="9" t="s">
        <v>31</v>
      </c>
      <c r="O46" s="9" t="s">
        <v>31</v>
      </c>
      <c r="P46" s="11" t="s">
        <v>31</v>
      </c>
      <c r="Q46" s="11" t="s">
        <v>31</v>
      </c>
      <c r="R46" s="33" t="s">
        <v>31</v>
      </c>
      <c r="S46" s="37">
        <f t="shared" si="3"/>
        <v>1.3222192947339193</v>
      </c>
      <c r="T46" s="37">
        <f t="shared" si="4"/>
        <v>2.7641405359408289</v>
      </c>
      <c r="U46" s="42" t="e">
        <f t="shared" si="5"/>
        <v>#VALUE!</v>
      </c>
      <c r="V46" s="41" t="e">
        <f t="shared" si="6"/>
        <v>#VALUE!</v>
      </c>
      <c r="W46" s="43" t="e">
        <f t="shared" si="7"/>
        <v>#VALUE!</v>
      </c>
      <c r="X46" s="43" t="e">
        <f t="shared" si="8"/>
        <v>#VALUE!</v>
      </c>
    </row>
    <row r="47" spans="1:24" ht="14.25" customHeight="1">
      <c r="A47" s="54"/>
      <c r="B47" s="8">
        <v>7</v>
      </c>
      <c r="C47" s="8">
        <f t="shared" si="0"/>
        <v>3.5</v>
      </c>
      <c r="D47" s="19" t="s">
        <v>25</v>
      </c>
      <c r="E47" s="19" t="s">
        <v>56</v>
      </c>
      <c r="F47" s="17" t="s">
        <v>27</v>
      </c>
      <c r="G47" s="17" t="s">
        <v>37</v>
      </c>
      <c r="H47" s="21" t="s">
        <v>29</v>
      </c>
      <c r="I47" s="21" t="s">
        <v>36</v>
      </c>
      <c r="J47" s="8">
        <v>2.1</v>
      </c>
      <c r="K47" s="8">
        <v>3.6120000000000001</v>
      </c>
      <c r="L47" s="8">
        <f t="shared" si="12"/>
        <v>72</v>
      </c>
      <c r="M47" s="9" t="s">
        <v>31</v>
      </c>
      <c r="N47" s="9" t="s">
        <v>31</v>
      </c>
      <c r="O47" s="9" t="s">
        <v>31</v>
      </c>
      <c r="P47" s="11" t="s">
        <v>31</v>
      </c>
      <c r="Q47" s="11" t="s">
        <v>31</v>
      </c>
      <c r="R47" s="33" t="s">
        <v>31</v>
      </c>
      <c r="S47" s="37">
        <f t="shared" si="3"/>
        <v>1.3222192947339193</v>
      </c>
      <c r="T47" s="37">
        <f t="shared" si="4"/>
        <v>2.8573324964312685</v>
      </c>
      <c r="U47" s="42" t="e">
        <f t="shared" si="5"/>
        <v>#VALUE!</v>
      </c>
      <c r="V47" s="41" t="e">
        <f t="shared" si="6"/>
        <v>#VALUE!</v>
      </c>
      <c r="W47" s="43" t="e">
        <f t="shared" si="7"/>
        <v>#VALUE!</v>
      </c>
      <c r="X47" s="43" t="e">
        <f t="shared" si="8"/>
        <v>#VALUE!</v>
      </c>
    </row>
    <row r="48" spans="1:24" ht="14.25" customHeight="1">
      <c r="A48" s="54"/>
      <c r="B48" s="8">
        <v>1</v>
      </c>
      <c r="C48" s="8">
        <f t="shared" si="0"/>
        <v>0.5</v>
      </c>
      <c r="D48" s="19" t="s">
        <v>25</v>
      </c>
      <c r="E48" s="19" t="s">
        <v>57</v>
      </c>
      <c r="F48" s="17" t="s">
        <v>27</v>
      </c>
      <c r="G48" s="17" t="s">
        <v>37</v>
      </c>
      <c r="H48" s="21" t="s">
        <v>29</v>
      </c>
      <c r="I48" s="21" t="s">
        <v>36</v>
      </c>
      <c r="J48" s="8">
        <v>2</v>
      </c>
      <c r="K48" s="8">
        <v>2.04</v>
      </c>
      <c r="L48" s="8">
        <f t="shared" si="12"/>
        <v>2.0000000000000018</v>
      </c>
      <c r="M48" s="9" t="s">
        <v>31</v>
      </c>
      <c r="N48" s="9" t="s">
        <v>31</v>
      </c>
      <c r="O48" s="9" t="s">
        <v>31</v>
      </c>
      <c r="P48" s="11" t="s">
        <v>31</v>
      </c>
      <c r="Q48" s="11" t="s">
        <v>31</v>
      </c>
      <c r="R48" s="33" t="s">
        <v>31</v>
      </c>
      <c r="S48" s="37">
        <f t="shared" si="3"/>
        <v>1.3010299956639813</v>
      </c>
      <c r="T48" s="37">
        <f t="shared" si="4"/>
        <v>1.3010299956639815</v>
      </c>
      <c r="U48" s="42" t="e">
        <f t="shared" si="5"/>
        <v>#VALUE!</v>
      </c>
      <c r="V48" s="41" t="e">
        <f t="shared" si="6"/>
        <v>#VALUE!</v>
      </c>
      <c r="W48" s="43" t="e">
        <f t="shared" si="7"/>
        <v>#VALUE!</v>
      </c>
      <c r="X48" s="43" t="e">
        <f t="shared" si="8"/>
        <v>#VALUE!</v>
      </c>
    </row>
    <row r="49" spans="1:24" ht="14.25" customHeight="1">
      <c r="A49" s="54"/>
      <c r="B49" s="8">
        <v>3</v>
      </c>
      <c r="C49" s="8">
        <f t="shared" si="0"/>
        <v>1.5</v>
      </c>
      <c r="D49" s="19" t="s">
        <v>25</v>
      </c>
      <c r="E49" s="19" t="s">
        <v>57</v>
      </c>
      <c r="F49" s="17" t="s">
        <v>27</v>
      </c>
      <c r="G49" s="17" t="s">
        <v>37</v>
      </c>
      <c r="H49" s="21" t="s">
        <v>29</v>
      </c>
      <c r="I49" s="21" t="s">
        <v>36</v>
      </c>
      <c r="J49" s="8">
        <v>2</v>
      </c>
      <c r="K49" s="8">
        <v>2.16</v>
      </c>
      <c r="L49" s="8">
        <f t="shared" si="12"/>
        <v>8.0000000000000071</v>
      </c>
      <c r="M49" s="9" t="s">
        <v>31</v>
      </c>
      <c r="N49" s="9" t="s">
        <v>31</v>
      </c>
      <c r="O49" s="9" t="s">
        <v>31</v>
      </c>
      <c r="P49" s="11" t="s">
        <v>31</v>
      </c>
      <c r="Q49" s="11" t="s">
        <v>31</v>
      </c>
      <c r="R49" s="33" t="s">
        <v>31</v>
      </c>
      <c r="S49" s="37">
        <f t="shared" si="3"/>
        <v>1.3010299956639813</v>
      </c>
      <c r="T49" s="37">
        <f t="shared" si="4"/>
        <v>1.903089986991944</v>
      </c>
      <c r="U49" s="42" t="e">
        <f t="shared" si="5"/>
        <v>#VALUE!</v>
      </c>
      <c r="V49" s="41" t="e">
        <f t="shared" si="6"/>
        <v>#VALUE!</v>
      </c>
      <c r="W49" s="43" t="e">
        <f t="shared" si="7"/>
        <v>#VALUE!</v>
      </c>
      <c r="X49" s="43" t="e">
        <f t="shared" si="8"/>
        <v>#VALUE!</v>
      </c>
    </row>
    <row r="50" spans="1:24" ht="14.25" customHeight="1">
      <c r="A50" s="54"/>
      <c r="B50" s="8">
        <v>5</v>
      </c>
      <c r="C50" s="8">
        <f t="shared" si="0"/>
        <v>2.5</v>
      </c>
      <c r="D50" s="19" t="s">
        <v>25</v>
      </c>
      <c r="E50" s="19" t="s">
        <v>57</v>
      </c>
      <c r="F50" s="17" t="s">
        <v>27</v>
      </c>
      <c r="G50" s="17" t="s">
        <v>37</v>
      </c>
      <c r="H50" s="21" t="s">
        <v>29</v>
      </c>
      <c r="I50" s="21" t="s">
        <v>36</v>
      </c>
      <c r="J50" s="8">
        <v>2</v>
      </c>
      <c r="K50" s="8">
        <v>2.2599999999999998</v>
      </c>
      <c r="L50" s="8">
        <f t="shared" si="12"/>
        <v>12.999999999999989</v>
      </c>
      <c r="M50" s="9" t="s">
        <v>31</v>
      </c>
      <c r="N50" s="9" t="s">
        <v>31</v>
      </c>
      <c r="O50" s="9" t="s">
        <v>31</v>
      </c>
      <c r="P50" s="11" t="s">
        <v>31</v>
      </c>
      <c r="Q50" s="11" t="s">
        <v>31</v>
      </c>
      <c r="R50" s="33" t="s">
        <v>31</v>
      </c>
      <c r="S50" s="37">
        <f t="shared" si="3"/>
        <v>1.3010299956639813</v>
      </c>
      <c r="T50" s="37">
        <f t="shared" si="4"/>
        <v>2.1139433523068365</v>
      </c>
      <c r="U50" s="42" t="e">
        <f t="shared" si="5"/>
        <v>#VALUE!</v>
      </c>
      <c r="V50" s="41" t="e">
        <f t="shared" si="6"/>
        <v>#VALUE!</v>
      </c>
      <c r="W50" s="43" t="e">
        <f t="shared" si="7"/>
        <v>#VALUE!</v>
      </c>
      <c r="X50" s="43" t="e">
        <f t="shared" si="8"/>
        <v>#VALUE!</v>
      </c>
    </row>
    <row r="51" spans="1:24" ht="14.25" customHeight="1">
      <c r="A51" s="54"/>
      <c r="B51" s="8">
        <v>7</v>
      </c>
      <c r="C51" s="8">
        <f t="shared" si="0"/>
        <v>3.5</v>
      </c>
      <c r="D51" s="19" t="s">
        <v>25</v>
      </c>
      <c r="E51" s="19" t="s">
        <v>57</v>
      </c>
      <c r="F51" s="17" t="s">
        <v>27</v>
      </c>
      <c r="G51" s="17" t="s">
        <v>37</v>
      </c>
      <c r="H51" s="21" t="s">
        <v>29</v>
      </c>
      <c r="I51" s="21" t="s">
        <v>36</v>
      </c>
      <c r="J51" s="8">
        <v>2</v>
      </c>
      <c r="K51" s="8">
        <v>2.5</v>
      </c>
      <c r="L51" s="8">
        <f t="shared" si="12"/>
        <v>25</v>
      </c>
      <c r="M51" s="9" t="s">
        <v>31</v>
      </c>
      <c r="N51" s="9" t="s">
        <v>31</v>
      </c>
      <c r="O51" s="9" t="s">
        <v>31</v>
      </c>
      <c r="P51" s="11" t="s">
        <v>31</v>
      </c>
      <c r="Q51" s="11" t="s">
        <v>31</v>
      </c>
      <c r="R51" s="33" t="s">
        <v>31</v>
      </c>
      <c r="S51" s="37">
        <f t="shared" si="3"/>
        <v>1.3010299956639813</v>
      </c>
      <c r="T51" s="37">
        <f t="shared" si="4"/>
        <v>2.3979400086720375</v>
      </c>
      <c r="U51" s="42" t="e">
        <f t="shared" si="5"/>
        <v>#VALUE!</v>
      </c>
      <c r="V51" s="41" t="e">
        <f t="shared" si="6"/>
        <v>#VALUE!</v>
      </c>
      <c r="W51" s="43" t="e">
        <f t="shared" si="7"/>
        <v>#VALUE!</v>
      </c>
      <c r="X51" s="43" t="e">
        <f t="shared" si="8"/>
        <v>#VALUE!</v>
      </c>
    </row>
    <row r="52" spans="1:24" ht="14.25" customHeight="1">
      <c r="A52" s="54"/>
      <c r="B52" s="8">
        <v>9</v>
      </c>
      <c r="C52" s="8">
        <f t="shared" si="0"/>
        <v>4.5</v>
      </c>
      <c r="D52" s="19" t="s">
        <v>25</v>
      </c>
      <c r="E52" s="19" t="s">
        <v>57</v>
      </c>
      <c r="F52" s="17" t="s">
        <v>27</v>
      </c>
      <c r="G52" s="17" t="s">
        <v>37</v>
      </c>
      <c r="H52" s="21" t="s">
        <v>29</v>
      </c>
      <c r="I52" s="21" t="s">
        <v>36</v>
      </c>
      <c r="J52" s="8">
        <v>2</v>
      </c>
      <c r="K52" s="8">
        <v>2.68</v>
      </c>
      <c r="L52" s="8">
        <f t="shared" si="12"/>
        <v>34.000000000000007</v>
      </c>
      <c r="M52" s="9" t="s">
        <v>31</v>
      </c>
      <c r="N52" s="9" t="s">
        <v>31</v>
      </c>
      <c r="O52" s="9" t="s">
        <v>31</v>
      </c>
      <c r="P52" s="11" t="s">
        <v>31</v>
      </c>
      <c r="Q52" s="11" t="s">
        <v>31</v>
      </c>
      <c r="R52" s="33" t="s">
        <v>31</v>
      </c>
      <c r="S52" s="37">
        <f t="shared" si="3"/>
        <v>1.3010299956639813</v>
      </c>
      <c r="T52" s="37">
        <f t="shared" si="4"/>
        <v>2.5314789170422554</v>
      </c>
      <c r="U52" s="42" t="e">
        <f t="shared" si="5"/>
        <v>#VALUE!</v>
      </c>
      <c r="V52" s="41" t="e">
        <f t="shared" si="6"/>
        <v>#VALUE!</v>
      </c>
      <c r="W52" s="43" t="e">
        <f t="shared" si="7"/>
        <v>#VALUE!</v>
      </c>
      <c r="X52" s="43" t="e">
        <f t="shared" si="8"/>
        <v>#VALUE!</v>
      </c>
    </row>
    <row r="53" spans="1:24" ht="14.25" customHeight="1">
      <c r="A53" s="54"/>
      <c r="B53" s="8">
        <v>2</v>
      </c>
      <c r="C53" s="8">
        <f t="shared" si="0"/>
        <v>1</v>
      </c>
      <c r="D53" s="19" t="s">
        <v>25</v>
      </c>
      <c r="E53" s="19" t="s">
        <v>58</v>
      </c>
      <c r="F53" s="17" t="s">
        <v>27</v>
      </c>
      <c r="G53" s="17" t="s">
        <v>28</v>
      </c>
      <c r="H53" s="21" t="s">
        <v>29</v>
      </c>
      <c r="I53" s="21" t="s">
        <v>36</v>
      </c>
      <c r="J53" s="8">
        <v>2.2999999999999998</v>
      </c>
      <c r="K53" s="8">
        <v>2.76</v>
      </c>
      <c r="L53" s="8">
        <f t="shared" si="12"/>
        <v>20</v>
      </c>
      <c r="M53" s="9" t="s">
        <v>31</v>
      </c>
      <c r="N53" s="9" t="s">
        <v>31</v>
      </c>
      <c r="O53" s="9" t="s">
        <v>31</v>
      </c>
      <c r="P53" s="11" t="s">
        <v>31</v>
      </c>
      <c r="Q53" s="11" t="s">
        <v>31</v>
      </c>
      <c r="R53" s="33" t="s">
        <v>31</v>
      </c>
      <c r="S53" s="37">
        <f t="shared" si="3"/>
        <v>1.3617278360175928</v>
      </c>
      <c r="T53" s="37">
        <f t="shared" si="4"/>
        <v>2.3010299956639813</v>
      </c>
      <c r="U53" s="42" t="e">
        <f t="shared" si="5"/>
        <v>#VALUE!</v>
      </c>
      <c r="V53" s="41" t="e">
        <f t="shared" si="6"/>
        <v>#VALUE!</v>
      </c>
      <c r="W53" s="43" t="e">
        <f t="shared" si="7"/>
        <v>#VALUE!</v>
      </c>
      <c r="X53" s="43" t="e">
        <f t="shared" si="8"/>
        <v>#VALUE!</v>
      </c>
    </row>
    <row r="54" spans="1:24" ht="14.25" customHeight="1">
      <c r="A54" s="54"/>
      <c r="B54" s="8">
        <v>5</v>
      </c>
      <c r="C54" s="8">
        <f t="shared" si="0"/>
        <v>2.5</v>
      </c>
      <c r="D54" s="19" t="s">
        <v>25</v>
      </c>
      <c r="E54" s="19" t="s">
        <v>58</v>
      </c>
      <c r="F54" s="17" t="s">
        <v>27</v>
      </c>
      <c r="G54" s="17" t="s">
        <v>28</v>
      </c>
      <c r="H54" s="21" t="s">
        <v>29</v>
      </c>
      <c r="I54" s="21" t="s">
        <v>36</v>
      </c>
      <c r="J54" s="8">
        <v>2.2999999999999998</v>
      </c>
      <c r="K54" s="8">
        <v>3.17</v>
      </c>
      <c r="L54" s="8">
        <f t="shared" si="12"/>
        <v>37.826086956521749</v>
      </c>
      <c r="M54" s="9" t="s">
        <v>31</v>
      </c>
      <c r="N54" s="9" t="s">
        <v>31</v>
      </c>
      <c r="O54" s="9" t="s">
        <v>31</v>
      </c>
      <c r="P54" s="11" t="s">
        <v>31</v>
      </c>
      <c r="Q54" s="11" t="s">
        <v>31</v>
      </c>
      <c r="R54" s="33" t="s">
        <v>31</v>
      </c>
      <c r="S54" s="37">
        <f t="shared" si="3"/>
        <v>1.3617278360175928</v>
      </c>
      <c r="T54" s="37">
        <f t="shared" si="4"/>
        <v>2.5777914166010256</v>
      </c>
      <c r="U54" s="42" t="e">
        <f t="shared" si="5"/>
        <v>#VALUE!</v>
      </c>
      <c r="V54" s="41" t="e">
        <f t="shared" si="6"/>
        <v>#VALUE!</v>
      </c>
      <c r="W54" s="43" t="e">
        <f t="shared" si="7"/>
        <v>#VALUE!</v>
      </c>
      <c r="X54" s="43" t="e">
        <f t="shared" si="8"/>
        <v>#VALUE!</v>
      </c>
    </row>
    <row r="55" spans="1:24" ht="14.25" customHeight="1">
      <c r="A55" s="54"/>
      <c r="B55" s="8">
        <v>10</v>
      </c>
      <c r="C55" s="8">
        <f t="shared" si="0"/>
        <v>5</v>
      </c>
      <c r="D55" s="19" t="s">
        <v>25</v>
      </c>
      <c r="E55" s="19" t="s">
        <v>58</v>
      </c>
      <c r="F55" s="17" t="s">
        <v>27</v>
      </c>
      <c r="G55" s="17" t="s">
        <v>28</v>
      </c>
      <c r="H55" s="21" t="s">
        <v>29</v>
      </c>
      <c r="I55" s="21" t="s">
        <v>36</v>
      </c>
      <c r="J55" s="8">
        <v>2.2999999999999998</v>
      </c>
      <c r="K55" s="8">
        <v>3.86</v>
      </c>
      <c r="L55" s="8">
        <f t="shared" si="12"/>
        <v>67.826086956521749</v>
      </c>
      <c r="M55" s="9" t="s">
        <v>31</v>
      </c>
      <c r="N55" s="9" t="s">
        <v>31</v>
      </c>
      <c r="O55" s="9" t="s">
        <v>31</v>
      </c>
      <c r="P55" s="11" t="s">
        <v>31</v>
      </c>
      <c r="Q55" s="11" t="s">
        <v>31</v>
      </c>
      <c r="R55" s="33" t="s">
        <v>31</v>
      </c>
      <c r="S55" s="37">
        <f t="shared" si="3"/>
        <v>1.3617278360175928</v>
      </c>
      <c r="T55" s="37">
        <f t="shared" si="4"/>
        <v>2.831396762336869</v>
      </c>
      <c r="U55" s="42" t="e">
        <f t="shared" si="5"/>
        <v>#VALUE!</v>
      </c>
      <c r="V55" s="41" t="e">
        <f t="shared" si="6"/>
        <v>#VALUE!</v>
      </c>
      <c r="W55" s="43" t="e">
        <f t="shared" si="7"/>
        <v>#VALUE!</v>
      </c>
      <c r="X55" s="43" t="e">
        <f t="shared" si="8"/>
        <v>#VALUE!</v>
      </c>
    </row>
    <row r="56" spans="1:24" ht="14.25" customHeight="1">
      <c r="A56" s="54"/>
      <c r="B56" s="8">
        <v>1</v>
      </c>
      <c r="C56" s="8">
        <f t="shared" si="0"/>
        <v>0.5</v>
      </c>
      <c r="D56" s="19" t="s">
        <v>25</v>
      </c>
      <c r="E56" s="19" t="s">
        <v>33</v>
      </c>
      <c r="F56" s="17" t="s">
        <v>59</v>
      </c>
      <c r="G56" s="17" t="s">
        <v>28</v>
      </c>
      <c r="H56" s="21" t="s">
        <v>29</v>
      </c>
      <c r="I56" s="21" t="s">
        <v>36</v>
      </c>
      <c r="J56" s="8">
        <v>1.6</v>
      </c>
      <c r="K56" s="8">
        <v>1.71</v>
      </c>
      <c r="L56" s="8">
        <f t="shared" si="12"/>
        <v>6.874999999999992</v>
      </c>
      <c r="M56" s="9" t="s">
        <v>31</v>
      </c>
      <c r="N56" s="9" t="s">
        <v>31</v>
      </c>
      <c r="O56" s="9" t="s">
        <v>31</v>
      </c>
      <c r="P56" s="11" t="s">
        <v>31</v>
      </c>
      <c r="Q56" s="11" t="s">
        <v>31</v>
      </c>
      <c r="R56" s="33" t="s">
        <v>31</v>
      </c>
      <c r="S56" s="37">
        <f t="shared" si="3"/>
        <v>1.2041199826559248</v>
      </c>
      <c r="T56" s="37">
        <f t="shared" si="4"/>
        <v>1.8372727025022997</v>
      </c>
      <c r="U56" s="42" t="e">
        <f t="shared" si="5"/>
        <v>#VALUE!</v>
      </c>
      <c r="V56" s="41" t="e">
        <f t="shared" si="6"/>
        <v>#VALUE!</v>
      </c>
      <c r="W56" s="43" t="e">
        <f t="shared" si="7"/>
        <v>#VALUE!</v>
      </c>
      <c r="X56" s="43" t="e">
        <f t="shared" si="8"/>
        <v>#VALUE!</v>
      </c>
    </row>
    <row r="57" spans="1:24" ht="14.25" customHeight="1">
      <c r="A57" s="54"/>
      <c r="B57" s="8">
        <v>2</v>
      </c>
      <c r="C57" s="8">
        <f t="shared" si="0"/>
        <v>1</v>
      </c>
      <c r="D57" s="19" t="s">
        <v>25</v>
      </c>
      <c r="E57" s="19" t="s">
        <v>33</v>
      </c>
      <c r="F57" s="17" t="s">
        <v>59</v>
      </c>
      <c r="G57" s="17" t="s">
        <v>28</v>
      </c>
      <c r="H57" s="21" t="s">
        <v>29</v>
      </c>
      <c r="I57" s="21" t="s">
        <v>36</v>
      </c>
      <c r="J57" s="8">
        <v>1.6</v>
      </c>
      <c r="K57" s="8">
        <v>1.92</v>
      </c>
      <c r="L57" s="8">
        <f t="shared" si="12"/>
        <v>19.999999999999989</v>
      </c>
      <c r="M57" s="9" t="s">
        <v>31</v>
      </c>
      <c r="N57" s="9" t="s">
        <v>31</v>
      </c>
      <c r="O57" s="9" t="s">
        <v>31</v>
      </c>
      <c r="P57" s="11" t="s">
        <v>31</v>
      </c>
      <c r="Q57" s="11" t="s">
        <v>31</v>
      </c>
      <c r="R57" s="33" t="s">
        <v>31</v>
      </c>
      <c r="S57" s="37">
        <f t="shared" si="3"/>
        <v>1.2041199826559248</v>
      </c>
      <c r="T57" s="37">
        <f t="shared" si="4"/>
        <v>2.3010299956639808</v>
      </c>
      <c r="U57" s="42" t="e">
        <f t="shared" si="5"/>
        <v>#VALUE!</v>
      </c>
      <c r="V57" s="41" t="e">
        <f t="shared" si="6"/>
        <v>#VALUE!</v>
      </c>
      <c r="W57" s="43" t="e">
        <f t="shared" si="7"/>
        <v>#VALUE!</v>
      </c>
      <c r="X57" s="43" t="e">
        <f t="shared" si="8"/>
        <v>#VALUE!</v>
      </c>
    </row>
    <row r="58" spans="1:24" ht="14.25" customHeight="1">
      <c r="A58" s="55"/>
      <c r="B58" s="8">
        <v>3</v>
      </c>
      <c r="C58" s="8">
        <f t="shared" si="0"/>
        <v>1.5</v>
      </c>
      <c r="D58" s="19" t="s">
        <v>25</v>
      </c>
      <c r="E58" s="19" t="s">
        <v>33</v>
      </c>
      <c r="F58" s="17" t="s">
        <v>59</v>
      </c>
      <c r="G58" s="17" t="s">
        <v>28</v>
      </c>
      <c r="H58" s="21" t="s">
        <v>29</v>
      </c>
      <c r="I58" s="21" t="s">
        <v>36</v>
      </c>
      <c r="J58" s="8">
        <v>1.6</v>
      </c>
      <c r="K58" s="8">
        <v>2.1120000000000001</v>
      </c>
      <c r="L58" s="8">
        <f t="shared" si="12"/>
        <v>32</v>
      </c>
      <c r="M58" s="9" t="s">
        <v>31</v>
      </c>
      <c r="N58" s="9" t="s">
        <v>31</v>
      </c>
      <c r="O58" s="9" t="s">
        <v>31</v>
      </c>
      <c r="P58" s="11" t="s">
        <v>31</v>
      </c>
      <c r="Q58" s="11" t="s">
        <v>31</v>
      </c>
      <c r="R58" s="33" t="s">
        <v>31</v>
      </c>
      <c r="S58" s="37">
        <f t="shared" si="3"/>
        <v>1.2041199826559248</v>
      </c>
      <c r="T58" s="37">
        <f t="shared" si="4"/>
        <v>2.5051499783199058</v>
      </c>
      <c r="U58" s="42" t="e">
        <f t="shared" si="5"/>
        <v>#VALUE!</v>
      </c>
      <c r="V58" s="41" t="e">
        <f t="shared" si="6"/>
        <v>#VALUE!</v>
      </c>
      <c r="W58" s="43" t="e">
        <f t="shared" si="7"/>
        <v>#VALUE!</v>
      </c>
      <c r="X58" s="43" t="e">
        <f t="shared" si="8"/>
        <v>#VALUE!</v>
      </c>
    </row>
    <row r="59" spans="1:24" ht="14" customHeight="1">
      <c r="A59" s="55"/>
      <c r="B59" s="8">
        <v>4</v>
      </c>
      <c r="C59" s="8">
        <f t="shared" si="0"/>
        <v>2</v>
      </c>
      <c r="D59" s="19" t="s">
        <v>25</v>
      </c>
      <c r="E59" s="19" t="s">
        <v>33</v>
      </c>
      <c r="F59" s="17" t="s">
        <v>59</v>
      </c>
      <c r="G59" s="17" t="s">
        <v>28</v>
      </c>
      <c r="H59" s="21" t="s">
        <v>29</v>
      </c>
      <c r="I59" s="21" t="s">
        <v>36</v>
      </c>
      <c r="J59" s="8">
        <v>1.6</v>
      </c>
      <c r="K59" s="8">
        <v>2.3039999999999998</v>
      </c>
      <c r="L59" s="8">
        <f t="shared" si="12"/>
        <v>43.999999999999986</v>
      </c>
      <c r="M59" s="9" t="s">
        <v>31</v>
      </c>
      <c r="N59" s="9" t="s">
        <v>31</v>
      </c>
      <c r="O59" s="9" t="s">
        <v>31</v>
      </c>
      <c r="P59" s="11" t="s">
        <v>31</v>
      </c>
      <c r="Q59" s="11" t="s">
        <v>31</v>
      </c>
      <c r="R59" s="33" t="s">
        <v>31</v>
      </c>
      <c r="S59" s="37">
        <f t="shared" si="3"/>
        <v>1.2041199826559248</v>
      </c>
      <c r="T59" s="37">
        <f t="shared" si="4"/>
        <v>2.6434526764861874</v>
      </c>
      <c r="U59" s="42" t="e">
        <f t="shared" si="5"/>
        <v>#VALUE!</v>
      </c>
      <c r="V59" s="41" t="e">
        <f t="shared" si="6"/>
        <v>#VALUE!</v>
      </c>
      <c r="W59" s="43" t="e">
        <f t="shared" si="7"/>
        <v>#VALUE!</v>
      </c>
      <c r="X59" s="43" t="e">
        <f t="shared" si="8"/>
        <v>#VALUE!</v>
      </c>
    </row>
    <row r="60" spans="1:24" ht="14" customHeight="1">
      <c r="A60" s="56"/>
      <c r="B60" s="8">
        <v>5</v>
      </c>
      <c r="C60" s="8">
        <f t="shared" si="0"/>
        <v>2.5</v>
      </c>
      <c r="D60" s="19" t="s">
        <v>25</v>
      </c>
      <c r="E60" s="19" t="s">
        <v>33</v>
      </c>
      <c r="F60" s="17" t="s">
        <v>59</v>
      </c>
      <c r="G60" s="17" t="s">
        <v>28</v>
      </c>
      <c r="H60" s="21" t="s">
        <v>29</v>
      </c>
      <c r="I60" s="21" t="s">
        <v>36</v>
      </c>
      <c r="J60" s="8">
        <v>1.6</v>
      </c>
      <c r="K60" s="8">
        <v>2.4500000000000002</v>
      </c>
      <c r="L60" s="8">
        <f t="shared" si="12"/>
        <v>53.125</v>
      </c>
      <c r="M60" s="9" t="s">
        <v>31</v>
      </c>
      <c r="N60" s="9" t="s">
        <v>31</v>
      </c>
      <c r="O60" s="9" t="s">
        <v>31</v>
      </c>
      <c r="P60" s="11" t="s">
        <v>31</v>
      </c>
      <c r="Q60" s="11" t="s">
        <v>31</v>
      </c>
      <c r="R60" s="33" t="s">
        <v>31</v>
      </c>
      <c r="S60" s="37">
        <f t="shared" si="3"/>
        <v>1.2041199826559248</v>
      </c>
      <c r="T60" s="37">
        <f t="shared" si="4"/>
        <v>2.7252989430583678</v>
      </c>
      <c r="U60" s="42" t="e">
        <f t="shared" si="5"/>
        <v>#VALUE!</v>
      </c>
      <c r="V60" s="41" t="e">
        <f t="shared" si="6"/>
        <v>#VALUE!</v>
      </c>
      <c r="W60" s="43" t="e">
        <f t="shared" si="7"/>
        <v>#VALUE!</v>
      </c>
      <c r="X60" s="43" t="e">
        <f t="shared" si="8"/>
        <v>#VALUE!</v>
      </c>
    </row>
    <row r="61" spans="1:24" ht="14.25" customHeight="1">
      <c r="A61" s="45" t="s">
        <v>60</v>
      </c>
      <c r="B61" s="8">
        <v>1</v>
      </c>
      <c r="C61" s="8">
        <f t="shared" si="0"/>
        <v>0.5</v>
      </c>
      <c r="D61" s="19" t="s">
        <v>61</v>
      </c>
      <c r="E61" s="19" t="s">
        <v>62</v>
      </c>
      <c r="F61" s="17" t="s">
        <v>34</v>
      </c>
      <c r="G61" s="15" t="s">
        <v>28</v>
      </c>
      <c r="H61" s="21" t="s">
        <v>29</v>
      </c>
      <c r="I61" s="21" t="s">
        <v>36</v>
      </c>
      <c r="J61" s="8">
        <v>5.5</v>
      </c>
      <c r="K61" s="8">
        <v>5.7</v>
      </c>
      <c r="L61" s="8">
        <f t="shared" ref="L61:L205" si="14">(K61-J61)/J61*100</f>
        <v>3.6363636363636398</v>
      </c>
      <c r="M61" s="9">
        <v>22</v>
      </c>
      <c r="N61" s="9">
        <v>19</v>
      </c>
      <c r="O61" s="10">
        <f t="shared" ref="O61:O72" si="15">(N61-M61)/M61*100</f>
        <v>-13.636363636363635</v>
      </c>
      <c r="P61" s="11">
        <v>4.41</v>
      </c>
      <c r="Q61" s="11">
        <v>4.2699999999999996</v>
      </c>
      <c r="R61" s="33">
        <f t="shared" ref="R61:R63" si="16">((Q61-P61)/P61)*100</f>
        <v>-3.1746031746031877</v>
      </c>
      <c r="S61" s="37">
        <f t="shared" si="3"/>
        <v>1.7403626894942439</v>
      </c>
      <c r="T61" s="37">
        <f t="shared" si="4"/>
        <v>1.5606673061697378</v>
      </c>
      <c r="U61" s="42">
        <f t="shared" si="5"/>
        <v>2.3424226808222062</v>
      </c>
      <c r="V61" s="41" t="e">
        <f t="shared" si="6"/>
        <v>#NUM!</v>
      </c>
      <c r="W61" s="43">
        <f t="shared" si="7"/>
        <v>1.6444385894678386</v>
      </c>
      <c r="X61" s="43" t="e">
        <f t="shared" si="8"/>
        <v>#NUM!</v>
      </c>
    </row>
    <row r="62" spans="1:24" ht="14.25" customHeight="1">
      <c r="A62" s="49"/>
      <c r="B62" s="8">
        <v>2</v>
      </c>
      <c r="C62" s="8">
        <f t="shared" si="0"/>
        <v>1</v>
      </c>
      <c r="D62" s="19" t="s">
        <v>61</v>
      </c>
      <c r="E62" s="19" t="s">
        <v>62</v>
      </c>
      <c r="F62" s="17" t="s">
        <v>34</v>
      </c>
      <c r="G62" s="15" t="s">
        <v>28</v>
      </c>
      <c r="H62" s="21" t="s">
        <v>29</v>
      </c>
      <c r="I62" s="21" t="s">
        <v>36</v>
      </c>
      <c r="J62" s="8">
        <v>5.5</v>
      </c>
      <c r="K62" s="8">
        <v>8.4</v>
      </c>
      <c r="L62" s="8">
        <f t="shared" si="14"/>
        <v>52.727272727272734</v>
      </c>
      <c r="M62" s="9">
        <v>22</v>
      </c>
      <c r="N62" s="9">
        <v>23</v>
      </c>
      <c r="O62" s="10">
        <f t="shared" si="15"/>
        <v>4.5454545454545459</v>
      </c>
      <c r="P62" s="11">
        <v>4.41</v>
      </c>
      <c r="Q62" s="11">
        <v>4.0599999999999996</v>
      </c>
      <c r="R62" s="33">
        <f t="shared" si="16"/>
        <v>-7.9365079365079483</v>
      </c>
      <c r="S62" s="37">
        <f t="shared" si="3"/>
        <v>1.7403626894942439</v>
      </c>
      <c r="T62" s="37">
        <f t="shared" si="4"/>
        <v>2.7220353084047124</v>
      </c>
      <c r="U62" s="42">
        <f t="shared" si="5"/>
        <v>2.3424226808222062</v>
      </c>
      <c r="V62" s="41">
        <f t="shared" si="6"/>
        <v>1.6575773191777938</v>
      </c>
      <c r="W62" s="43">
        <f t="shared" si="7"/>
        <v>1.6444385894678386</v>
      </c>
      <c r="X62" s="43" t="e">
        <f t="shared" si="8"/>
        <v>#NUM!</v>
      </c>
    </row>
    <row r="63" spans="1:24" ht="14.25" customHeight="1">
      <c r="A63" s="50"/>
      <c r="B63" s="8">
        <v>3</v>
      </c>
      <c r="C63" s="8">
        <f t="shared" si="0"/>
        <v>1.5</v>
      </c>
      <c r="D63" s="19" t="s">
        <v>61</v>
      </c>
      <c r="E63" s="19" t="s">
        <v>62</v>
      </c>
      <c r="F63" s="17" t="s">
        <v>34</v>
      </c>
      <c r="G63" s="15" t="s">
        <v>28</v>
      </c>
      <c r="H63" s="21" t="s">
        <v>29</v>
      </c>
      <c r="I63" s="21" t="s">
        <v>36</v>
      </c>
      <c r="J63" s="8">
        <v>5.5</v>
      </c>
      <c r="K63" s="8">
        <v>6.1</v>
      </c>
      <c r="L63" s="8">
        <f t="shared" si="14"/>
        <v>10.909090909090903</v>
      </c>
      <c r="M63" s="9">
        <v>22</v>
      </c>
      <c r="N63" s="9">
        <v>24</v>
      </c>
      <c r="O63" s="10">
        <f t="shared" si="15"/>
        <v>9.0909090909090917</v>
      </c>
      <c r="P63" s="11">
        <v>4.41</v>
      </c>
      <c r="Q63" s="11">
        <v>4.41</v>
      </c>
      <c r="R63" s="33">
        <f t="shared" si="16"/>
        <v>0</v>
      </c>
      <c r="S63" s="37">
        <f t="shared" si="3"/>
        <v>1.7403626894942439</v>
      </c>
      <c r="T63" s="37">
        <f t="shared" si="4"/>
        <v>2.0377885608893997</v>
      </c>
      <c r="U63" s="42">
        <f t="shared" si="5"/>
        <v>2.3424226808222062</v>
      </c>
      <c r="V63" s="41">
        <f t="shared" si="6"/>
        <v>1.9586073148417751</v>
      </c>
      <c r="W63" s="43">
        <f t="shared" si="7"/>
        <v>1.6444385894678386</v>
      </c>
      <c r="X63" s="43" t="e">
        <f t="shared" si="8"/>
        <v>#NUM!</v>
      </c>
    </row>
    <row r="64" spans="1:24" ht="14.25" customHeight="1">
      <c r="A64" s="45" t="s">
        <v>63</v>
      </c>
      <c r="B64" s="8">
        <v>1.5</v>
      </c>
      <c r="C64" s="8">
        <f t="shared" si="0"/>
        <v>0.75</v>
      </c>
      <c r="D64" s="19" t="s">
        <v>42</v>
      </c>
      <c r="E64" s="19" t="s">
        <v>43</v>
      </c>
      <c r="F64" s="17" t="s">
        <v>34</v>
      </c>
      <c r="G64" s="15" t="s">
        <v>37</v>
      </c>
      <c r="H64" s="21" t="s">
        <v>29</v>
      </c>
      <c r="I64" s="21" t="s">
        <v>46</v>
      </c>
      <c r="J64" s="8">
        <v>8.3599999999999994E-2</v>
      </c>
      <c r="K64" s="8">
        <v>8.1699999999999995E-2</v>
      </c>
      <c r="L64" s="8">
        <f t="shared" si="14"/>
        <v>-2.2727272727272716</v>
      </c>
      <c r="M64" s="9">
        <v>69.8</v>
      </c>
      <c r="N64" s="9">
        <v>61.2</v>
      </c>
      <c r="O64" s="10">
        <f t="shared" si="15"/>
        <v>-12.320916905444118</v>
      </c>
      <c r="P64" s="11" t="s">
        <v>31</v>
      </c>
      <c r="Q64" s="11" t="s">
        <v>31</v>
      </c>
      <c r="R64" s="33" t="s">
        <v>31</v>
      </c>
      <c r="S64" s="37">
        <f t="shared" si="3"/>
        <v>-7.779372256098363E-2</v>
      </c>
      <c r="T64" s="37" t="e">
        <f t="shared" si="4"/>
        <v>#NUM!</v>
      </c>
      <c r="U64" s="42">
        <f t="shared" si="5"/>
        <v>2.8438554226231609</v>
      </c>
      <c r="V64" s="41" t="e">
        <f t="shared" si="6"/>
        <v>#NUM!</v>
      </c>
      <c r="W64" s="43" t="e">
        <f t="shared" si="7"/>
        <v>#VALUE!</v>
      </c>
      <c r="X64" s="43" t="e">
        <f t="shared" si="8"/>
        <v>#VALUE!</v>
      </c>
    </row>
    <row r="65" spans="1:24" ht="14.25" customHeight="1">
      <c r="A65" s="49"/>
      <c r="B65" s="8">
        <v>3</v>
      </c>
      <c r="C65" s="8">
        <f t="shared" si="0"/>
        <v>1.5</v>
      </c>
      <c r="D65" s="19" t="s">
        <v>42</v>
      </c>
      <c r="E65" s="19" t="s">
        <v>43</v>
      </c>
      <c r="F65" s="17" t="s">
        <v>34</v>
      </c>
      <c r="G65" s="15" t="s">
        <v>37</v>
      </c>
      <c r="H65" s="21" t="s">
        <v>29</v>
      </c>
      <c r="I65" s="21" t="s">
        <v>46</v>
      </c>
      <c r="J65" s="8">
        <v>8.3599999999999994E-2</v>
      </c>
      <c r="K65" s="8">
        <v>6.7199999999999996E-2</v>
      </c>
      <c r="L65" s="8">
        <f t="shared" si="14"/>
        <v>-19.617224880382775</v>
      </c>
      <c r="M65" s="9">
        <v>69.8</v>
      </c>
      <c r="N65" s="9">
        <v>59.6</v>
      </c>
      <c r="O65" s="10">
        <f t="shared" si="15"/>
        <v>-14.613180515759309</v>
      </c>
      <c r="P65" s="11" t="s">
        <v>31</v>
      </c>
      <c r="Q65" s="11" t="s">
        <v>31</v>
      </c>
      <c r="R65" s="33" t="s">
        <v>31</v>
      </c>
      <c r="S65" s="37">
        <f t="shared" si="3"/>
        <v>-7.779372256098363E-2</v>
      </c>
      <c r="T65" s="37" t="e">
        <f t="shared" si="4"/>
        <v>#NUM!</v>
      </c>
      <c r="U65" s="42">
        <f t="shared" si="5"/>
        <v>2.8438554226231609</v>
      </c>
      <c r="V65" s="41" t="e">
        <f t="shared" si="6"/>
        <v>#NUM!</v>
      </c>
      <c r="W65" s="43" t="e">
        <f t="shared" si="7"/>
        <v>#VALUE!</v>
      </c>
      <c r="X65" s="43" t="e">
        <f t="shared" si="8"/>
        <v>#VALUE!</v>
      </c>
    </row>
    <row r="66" spans="1:24" ht="14.25" customHeight="1">
      <c r="A66" s="50"/>
      <c r="B66" s="8">
        <v>5</v>
      </c>
      <c r="C66" s="8">
        <f t="shared" si="0"/>
        <v>2.5</v>
      </c>
      <c r="D66" s="19" t="s">
        <v>42</v>
      </c>
      <c r="E66" s="19" t="s">
        <v>43</v>
      </c>
      <c r="F66" s="17" t="s">
        <v>34</v>
      </c>
      <c r="G66" s="15" t="s">
        <v>37</v>
      </c>
      <c r="H66" s="21" t="s">
        <v>29</v>
      </c>
      <c r="I66" s="21" t="s">
        <v>46</v>
      </c>
      <c r="J66" s="8">
        <v>8.3599999999999994E-2</v>
      </c>
      <c r="K66" s="8">
        <v>6.3600000000000004E-2</v>
      </c>
      <c r="L66" s="8">
        <f t="shared" si="14"/>
        <v>-23.923444976076542</v>
      </c>
      <c r="M66" s="9">
        <v>69.8</v>
      </c>
      <c r="N66" s="9">
        <v>52.9</v>
      </c>
      <c r="O66" s="10">
        <f t="shared" si="15"/>
        <v>-24.212034383954155</v>
      </c>
      <c r="P66" s="11" t="s">
        <v>31</v>
      </c>
      <c r="Q66" s="11" t="s">
        <v>31</v>
      </c>
      <c r="R66" s="33" t="s">
        <v>31</v>
      </c>
      <c r="S66" s="37">
        <f t="shared" si="3"/>
        <v>-7.779372256098363E-2</v>
      </c>
      <c r="T66" s="37" t="e">
        <f t="shared" si="4"/>
        <v>#NUM!</v>
      </c>
      <c r="U66" s="42">
        <f t="shared" si="5"/>
        <v>2.8438554226231609</v>
      </c>
      <c r="V66" s="41" t="e">
        <f t="shared" si="6"/>
        <v>#NUM!</v>
      </c>
      <c r="W66" s="43" t="e">
        <f t="shared" si="7"/>
        <v>#VALUE!</v>
      </c>
      <c r="X66" s="43" t="e">
        <f t="shared" si="8"/>
        <v>#VALUE!</v>
      </c>
    </row>
    <row r="67" spans="1:24" ht="14.25" customHeight="1">
      <c r="A67" s="45" t="s">
        <v>64</v>
      </c>
      <c r="B67" s="8">
        <v>1</v>
      </c>
      <c r="C67" s="8">
        <f t="shared" si="0"/>
        <v>0.5</v>
      </c>
      <c r="D67" s="19" t="s">
        <v>25</v>
      </c>
      <c r="E67" s="19" t="s">
        <v>65</v>
      </c>
      <c r="F67" s="17" t="s">
        <v>34</v>
      </c>
      <c r="G67" s="15" t="s">
        <v>66</v>
      </c>
      <c r="H67" s="21" t="s">
        <v>29</v>
      </c>
      <c r="I67" s="21" t="s">
        <v>36</v>
      </c>
      <c r="J67" s="8">
        <v>3.5</v>
      </c>
      <c r="K67" s="8">
        <v>5.0999999999999996</v>
      </c>
      <c r="L67" s="8">
        <f t="shared" si="14"/>
        <v>45.714285714285701</v>
      </c>
      <c r="M67" s="9">
        <v>37.5</v>
      </c>
      <c r="N67" s="9">
        <v>40.6</v>
      </c>
      <c r="O67" s="10">
        <f t="shared" si="15"/>
        <v>8.266666666666671</v>
      </c>
      <c r="P67" s="11">
        <v>3</v>
      </c>
      <c r="Q67" s="11">
        <v>2.4</v>
      </c>
      <c r="R67" s="33">
        <f t="shared" ref="R67:R72" si="17">((Q67-P67)/P67)*100</f>
        <v>-20.000000000000004</v>
      </c>
      <c r="S67" s="37">
        <f t="shared" ref="S67:S130" si="18">LOG10(J67*10)</f>
        <v>1.5440680443502757</v>
      </c>
      <c r="T67" s="37">
        <f t="shared" ref="T67:T130" si="19">LOG10(L67*10)</f>
        <v>2.6600519383056489</v>
      </c>
      <c r="U67" s="42">
        <f t="shared" ref="U67:U130" si="20">LOG10(M67*10)</f>
        <v>2.5740312677277188</v>
      </c>
      <c r="V67" s="41">
        <f t="shared" ref="V67:V130" si="21">LOG10(O67*10)</f>
        <v>1.917330426106554</v>
      </c>
      <c r="W67" s="43">
        <f t="shared" ref="W67:W130" si="22">LOG10(P67*10)</f>
        <v>1.4771212547196624</v>
      </c>
      <c r="X67" s="43" t="e">
        <f t="shared" ref="X67:X130" si="23">LOG10(R67*10)</f>
        <v>#NUM!</v>
      </c>
    </row>
    <row r="68" spans="1:24" ht="14.25" customHeight="1">
      <c r="A68" s="49"/>
      <c r="B68" s="8">
        <v>3</v>
      </c>
      <c r="C68" s="8">
        <f t="shared" si="0"/>
        <v>1.5</v>
      </c>
      <c r="D68" s="19" t="s">
        <v>25</v>
      </c>
      <c r="E68" s="19" t="s">
        <v>65</v>
      </c>
      <c r="F68" s="17" t="s">
        <v>34</v>
      </c>
      <c r="G68" s="15" t="s">
        <v>66</v>
      </c>
      <c r="H68" s="21" t="s">
        <v>29</v>
      </c>
      <c r="I68" s="21" t="s">
        <v>36</v>
      </c>
      <c r="J68" s="8">
        <v>3.5</v>
      </c>
      <c r="K68" s="8">
        <v>4.5999999999999996</v>
      </c>
      <c r="L68" s="8">
        <f t="shared" si="14"/>
        <v>31.428571428571416</v>
      </c>
      <c r="M68" s="9">
        <v>37.5</v>
      </c>
      <c r="N68" s="9">
        <v>30.7</v>
      </c>
      <c r="O68" s="10">
        <f t="shared" si="15"/>
        <v>-18.133333333333333</v>
      </c>
      <c r="P68" s="11">
        <v>3</v>
      </c>
      <c r="Q68" s="11">
        <v>0.7</v>
      </c>
      <c r="R68" s="33">
        <f t="shared" si="17"/>
        <v>-76.666666666666657</v>
      </c>
      <c r="S68" s="37">
        <f t="shared" si="18"/>
        <v>1.5440680443502757</v>
      </c>
      <c r="T68" s="37">
        <f t="shared" si="19"/>
        <v>2.4973246408079492</v>
      </c>
      <c r="U68" s="42">
        <f t="shared" si="20"/>
        <v>2.5740312677277188</v>
      </c>
      <c r="V68" s="41" t="e">
        <f t="shared" si="21"/>
        <v>#NUM!</v>
      </c>
      <c r="W68" s="43">
        <f t="shared" si="22"/>
        <v>1.4771212547196624</v>
      </c>
      <c r="X68" s="43" t="e">
        <f t="shared" si="23"/>
        <v>#NUM!</v>
      </c>
    </row>
    <row r="69" spans="1:24" ht="14.25" customHeight="1">
      <c r="A69" s="50"/>
      <c r="B69" s="8">
        <v>5</v>
      </c>
      <c r="C69" s="8">
        <f t="shared" si="0"/>
        <v>2.5</v>
      </c>
      <c r="D69" s="19" t="s">
        <v>25</v>
      </c>
      <c r="E69" s="19" t="s">
        <v>65</v>
      </c>
      <c r="F69" s="17" t="s">
        <v>34</v>
      </c>
      <c r="G69" s="15" t="s">
        <v>66</v>
      </c>
      <c r="H69" s="21" t="s">
        <v>29</v>
      </c>
      <c r="I69" s="21" t="s">
        <v>36</v>
      </c>
      <c r="J69" s="8">
        <v>3.5</v>
      </c>
      <c r="K69" s="8">
        <v>7.1</v>
      </c>
      <c r="L69" s="8">
        <f t="shared" si="14"/>
        <v>102.85714285714285</v>
      </c>
      <c r="M69" s="9">
        <v>37.5</v>
      </c>
      <c r="N69" s="9">
        <v>30.4</v>
      </c>
      <c r="O69" s="10">
        <f t="shared" si="15"/>
        <v>-18.933333333333337</v>
      </c>
      <c r="P69" s="11">
        <v>3</v>
      </c>
      <c r="Q69" s="11">
        <v>0.6</v>
      </c>
      <c r="R69" s="33">
        <f t="shared" si="17"/>
        <v>-80</v>
      </c>
      <c r="S69" s="37">
        <f t="shared" si="18"/>
        <v>1.5440680443502757</v>
      </c>
      <c r="T69" s="37">
        <f t="shared" si="19"/>
        <v>3.0122344564170116</v>
      </c>
      <c r="U69" s="42">
        <f t="shared" si="20"/>
        <v>2.5740312677277188</v>
      </c>
      <c r="V69" s="41" t="e">
        <f t="shared" si="21"/>
        <v>#NUM!</v>
      </c>
      <c r="W69" s="43">
        <f t="shared" si="22"/>
        <v>1.4771212547196624</v>
      </c>
      <c r="X69" s="43" t="e">
        <f t="shared" si="23"/>
        <v>#NUM!</v>
      </c>
    </row>
    <row r="70" spans="1:24" ht="14.25" customHeight="1">
      <c r="A70" s="45" t="s">
        <v>67</v>
      </c>
      <c r="B70" s="8">
        <f t="shared" ref="B70:B72" si="24">C70*2</f>
        <v>1.28</v>
      </c>
      <c r="C70" s="8">
        <v>0.64</v>
      </c>
      <c r="D70" s="19" t="s">
        <v>25</v>
      </c>
      <c r="E70" s="19" t="s">
        <v>68</v>
      </c>
      <c r="F70" s="17" t="s">
        <v>34</v>
      </c>
      <c r="G70" s="15" t="s">
        <v>66</v>
      </c>
      <c r="H70" s="21" t="s">
        <v>29</v>
      </c>
      <c r="I70" s="21" t="s">
        <v>36</v>
      </c>
      <c r="J70" s="8">
        <v>0.45</v>
      </c>
      <c r="K70" s="8">
        <v>0.56299999999999994</v>
      </c>
      <c r="L70" s="8">
        <f t="shared" si="14"/>
        <v>25.111111111111097</v>
      </c>
      <c r="M70" s="9">
        <v>450</v>
      </c>
      <c r="N70" s="9">
        <v>563</v>
      </c>
      <c r="O70" s="10">
        <f t="shared" si="15"/>
        <v>25.111111111111111</v>
      </c>
      <c r="P70" s="11">
        <v>3.9</v>
      </c>
      <c r="Q70" s="11">
        <v>2.6</v>
      </c>
      <c r="R70" s="33">
        <f t="shared" si="17"/>
        <v>-33.333333333333329</v>
      </c>
      <c r="S70" s="37">
        <f t="shared" si="18"/>
        <v>0.65321251377534373</v>
      </c>
      <c r="T70" s="37">
        <f t="shared" si="19"/>
        <v>2.399865929708076</v>
      </c>
      <c r="U70" s="42">
        <f t="shared" si="20"/>
        <v>3.6532125137753435</v>
      </c>
      <c r="V70" s="41">
        <f t="shared" si="21"/>
        <v>2.399865929708076</v>
      </c>
      <c r="W70" s="43">
        <f t="shared" si="22"/>
        <v>1.5910646070264991</v>
      </c>
      <c r="X70" s="43" t="e">
        <f t="shared" si="23"/>
        <v>#NUM!</v>
      </c>
    </row>
    <row r="71" spans="1:24" ht="13.5" customHeight="1">
      <c r="A71" s="49"/>
      <c r="B71" s="8">
        <f t="shared" si="24"/>
        <v>1.84</v>
      </c>
      <c r="C71" s="8">
        <v>0.92</v>
      </c>
      <c r="D71" s="19" t="s">
        <v>25</v>
      </c>
      <c r="E71" s="19" t="s">
        <v>68</v>
      </c>
      <c r="F71" s="17" t="s">
        <v>34</v>
      </c>
      <c r="G71" s="15" t="s">
        <v>66</v>
      </c>
      <c r="H71" s="21" t="s">
        <v>29</v>
      </c>
      <c r="I71" s="21" t="s">
        <v>36</v>
      </c>
      <c r="J71" s="8">
        <v>0.45</v>
      </c>
      <c r="K71" s="8">
        <v>0.64500000000000002</v>
      </c>
      <c r="L71" s="8">
        <f t="shared" si="14"/>
        <v>43.333333333333336</v>
      </c>
      <c r="M71" s="9">
        <v>450</v>
      </c>
      <c r="N71" s="9">
        <v>645</v>
      </c>
      <c r="O71" s="10">
        <f t="shared" si="15"/>
        <v>43.333333333333336</v>
      </c>
      <c r="P71" s="11">
        <v>3.9</v>
      </c>
      <c r="Q71" s="11">
        <v>3.82</v>
      </c>
      <c r="R71" s="33">
        <f t="shared" si="17"/>
        <v>-2.0512820512820529</v>
      </c>
      <c r="S71" s="37">
        <f t="shared" si="18"/>
        <v>0.65321251377534373</v>
      </c>
      <c r="T71" s="37">
        <f t="shared" si="19"/>
        <v>2.6368220975871743</v>
      </c>
      <c r="U71" s="42">
        <f t="shared" si="20"/>
        <v>3.6532125137753435</v>
      </c>
      <c r="V71" s="41">
        <f t="shared" si="21"/>
        <v>2.6368220975871743</v>
      </c>
      <c r="W71" s="43">
        <f t="shared" si="22"/>
        <v>1.5910646070264991</v>
      </c>
      <c r="X71" s="43" t="e">
        <f t="shared" si="23"/>
        <v>#NUM!</v>
      </c>
    </row>
    <row r="72" spans="1:24" ht="14.25" customHeight="1">
      <c r="A72" s="50"/>
      <c r="B72" s="8">
        <f t="shared" si="24"/>
        <v>1.26</v>
      </c>
      <c r="C72" s="8">
        <v>0.63</v>
      </c>
      <c r="D72" s="19" t="s">
        <v>25</v>
      </c>
      <c r="E72" s="19" t="s">
        <v>68</v>
      </c>
      <c r="F72" s="17" t="s">
        <v>34</v>
      </c>
      <c r="G72" s="15" t="s">
        <v>66</v>
      </c>
      <c r="H72" s="21" t="s">
        <v>29</v>
      </c>
      <c r="I72" s="21" t="s">
        <v>36</v>
      </c>
      <c r="J72" s="8">
        <v>0.45</v>
      </c>
      <c r="K72" s="8">
        <v>0.502</v>
      </c>
      <c r="L72" s="8">
        <f t="shared" si="14"/>
        <v>11.555555555555554</v>
      </c>
      <c r="M72" s="9">
        <v>450</v>
      </c>
      <c r="N72" s="9">
        <v>502</v>
      </c>
      <c r="O72" s="10">
        <f t="shared" si="15"/>
        <v>11.555555555555555</v>
      </c>
      <c r="P72" s="11">
        <v>3.9</v>
      </c>
      <c r="Q72" s="11">
        <v>4.2</v>
      </c>
      <c r="R72" s="33">
        <f t="shared" si="17"/>
        <v>7.6923076923076996</v>
      </c>
      <c r="S72" s="37">
        <f t="shared" si="18"/>
        <v>0.65321251377534373</v>
      </c>
      <c r="T72" s="37">
        <f t="shared" si="19"/>
        <v>2.0627908298594555</v>
      </c>
      <c r="U72" s="42">
        <f t="shared" si="20"/>
        <v>3.6532125137753435</v>
      </c>
      <c r="V72" s="41">
        <f t="shared" si="21"/>
        <v>2.0627908298594555</v>
      </c>
      <c r="W72" s="43">
        <f t="shared" si="22"/>
        <v>1.5910646070264991</v>
      </c>
      <c r="X72" s="43">
        <f t="shared" si="23"/>
        <v>1.8860566476931637</v>
      </c>
    </row>
    <row r="73" spans="1:24" ht="14.25" customHeight="1">
      <c r="A73" s="48" t="s">
        <v>69</v>
      </c>
      <c r="B73" s="8">
        <v>10</v>
      </c>
      <c r="C73" s="8">
        <f t="shared" ref="C73:C99" si="25">B73/2</f>
        <v>5</v>
      </c>
      <c r="D73" s="19" t="s">
        <v>25</v>
      </c>
      <c r="E73" s="19" t="s">
        <v>70</v>
      </c>
      <c r="F73" s="17" t="s">
        <v>27</v>
      </c>
      <c r="G73" s="15" t="s">
        <v>28</v>
      </c>
      <c r="H73" s="21" t="s">
        <v>29</v>
      </c>
      <c r="I73" s="21" t="s">
        <v>51</v>
      </c>
      <c r="J73" s="8">
        <v>6</v>
      </c>
      <c r="K73" s="8">
        <v>9</v>
      </c>
      <c r="L73" s="8">
        <f t="shared" si="14"/>
        <v>50</v>
      </c>
      <c r="M73" s="9">
        <v>220</v>
      </c>
      <c r="N73" s="9" t="s">
        <v>31</v>
      </c>
      <c r="O73" s="9" t="s">
        <v>31</v>
      </c>
      <c r="P73" s="11" t="s">
        <v>31</v>
      </c>
      <c r="Q73" s="11" t="s">
        <v>31</v>
      </c>
      <c r="R73" s="33" t="s">
        <v>31</v>
      </c>
      <c r="S73" s="37">
        <f t="shared" si="18"/>
        <v>1.7781512503836436</v>
      </c>
      <c r="T73" s="37">
        <f t="shared" si="19"/>
        <v>2.6989700043360187</v>
      </c>
      <c r="U73" s="42">
        <f t="shared" si="20"/>
        <v>3.3424226808222062</v>
      </c>
      <c r="V73" s="41" t="e">
        <f t="shared" si="21"/>
        <v>#VALUE!</v>
      </c>
      <c r="W73" s="43" t="e">
        <f t="shared" si="22"/>
        <v>#VALUE!</v>
      </c>
      <c r="X73" s="43" t="e">
        <f t="shared" si="23"/>
        <v>#VALUE!</v>
      </c>
    </row>
    <row r="74" spans="1:24" ht="14.25" customHeight="1">
      <c r="A74" s="49"/>
      <c r="B74" s="8">
        <v>20</v>
      </c>
      <c r="C74" s="8">
        <f t="shared" si="25"/>
        <v>10</v>
      </c>
      <c r="D74" s="19" t="s">
        <v>25</v>
      </c>
      <c r="E74" s="19" t="s">
        <v>70</v>
      </c>
      <c r="F74" s="17" t="s">
        <v>27</v>
      </c>
      <c r="G74" s="15" t="s">
        <v>28</v>
      </c>
      <c r="H74" s="21" t="s">
        <v>29</v>
      </c>
      <c r="I74" s="21" t="s">
        <v>51</v>
      </c>
      <c r="J74" s="8">
        <v>6</v>
      </c>
      <c r="K74" s="8">
        <v>13</v>
      </c>
      <c r="L74" s="8">
        <f t="shared" si="14"/>
        <v>116.66666666666667</v>
      </c>
      <c r="M74" s="9">
        <v>220</v>
      </c>
      <c r="N74" s="9" t="s">
        <v>31</v>
      </c>
      <c r="O74" s="9" t="s">
        <v>31</v>
      </c>
      <c r="P74" s="11" t="s">
        <v>31</v>
      </c>
      <c r="Q74" s="11" t="s">
        <v>31</v>
      </c>
      <c r="R74" s="33" t="s">
        <v>31</v>
      </c>
      <c r="S74" s="37">
        <f t="shared" si="18"/>
        <v>1.7781512503836436</v>
      </c>
      <c r="T74" s="37">
        <f t="shared" si="19"/>
        <v>3.0669467896306131</v>
      </c>
      <c r="U74" s="42">
        <f t="shared" si="20"/>
        <v>3.3424226808222062</v>
      </c>
      <c r="V74" s="41" t="e">
        <f t="shared" si="21"/>
        <v>#VALUE!</v>
      </c>
      <c r="W74" s="43" t="e">
        <f t="shared" si="22"/>
        <v>#VALUE!</v>
      </c>
      <c r="X74" s="43" t="e">
        <f t="shared" si="23"/>
        <v>#VALUE!</v>
      </c>
    </row>
    <row r="75" spans="1:24" ht="14.25" customHeight="1">
      <c r="A75" s="49"/>
      <c r="B75" s="8">
        <v>30</v>
      </c>
      <c r="C75" s="8">
        <f t="shared" si="25"/>
        <v>15</v>
      </c>
      <c r="D75" s="19" t="s">
        <v>25</v>
      </c>
      <c r="E75" s="19" t="s">
        <v>70</v>
      </c>
      <c r="F75" s="17" t="s">
        <v>27</v>
      </c>
      <c r="G75" s="15" t="s">
        <v>28</v>
      </c>
      <c r="H75" s="21" t="s">
        <v>29</v>
      </c>
      <c r="I75" s="21" t="s">
        <v>51</v>
      </c>
      <c r="J75" s="8">
        <v>6</v>
      </c>
      <c r="K75" s="8">
        <v>17</v>
      </c>
      <c r="L75" s="8">
        <f t="shared" si="14"/>
        <v>183.33333333333331</v>
      </c>
      <c r="M75" s="9">
        <v>220</v>
      </c>
      <c r="N75" s="9" t="s">
        <v>31</v>
      </c>
      <c r="O75" s="9" t="s">
        <v>31</v>
      </c>
      <c r="P75" s="11" t="s">
        <v>31</v>
      </c>
      <c r="Q75" s="11" t="s">
        <v>31</v>
      </c>
      <c r="R75" s="33" t="s">
        <v>31</v>
      </c>
      <c r="S75" s="37">
        <f t="shared" si="18"/>
        <v>1.7781512503836436</v>
      </c>
      <c r="T75" s="37">
        <f t="shared" si="19"/>
        <v>3.2632414347745815</v>
      </c>
      <c r="U75" s="42">
        <f t="shared" si="20"/>
        <v>3.3424226808222062</v>
      </c>
      <c r="V75" s="41" t="e">
        <f t="shared" si="21"/>
        <v>#VALUE!</v>
      </c>
      <c r="W75" s="43" t="e">
        <f t="shared" si="22"/>
        <v>#VALUE!</v>
      </c>
      <c r="X75" s="43" t="e">
        <f t="shared" si="23"/>
        <v>#VALUE!</v>
      </c>
    </row>
    <row r="76" spans="1:24" ht="14.25" customHeight="1">
      <c r="A76" s="49"/>
      <c r="B76" s="8">
        <v>40</v>
      </c>
      <c r="C76" s="8">
        <f t="shared" si="25"/>
        <v>20</v>
      </c>
      <c r="D76" s="19" t="s">
        <v>25</v>
      </c>
      <c r="E76" s="19" t="s">
        <v>70</v>
      </c>
      <c r="F76" s="17" t="s">
        <v>27</v>
      </c>
      <c r="G76" s="15" t="s">
        <v>28</v>
      </c>
      <c r="H76" s="21" t="s">
        <v>29</v>
      </c>
      <c r="I76" s="21" t="s">
        <v>51</v>
      </c>
      <c r="J76" s="8">
        <v>6</v>
      </c>
      <c r="K76" s="8">
        <v>20</v>
      </c>
      <c r="L76" s="8">
        <f t="shared" si="14"/>
        <v>233.33333333333334</v>
      </c>
      <c r="M76" s="9">
        <v>220</v>
      </c>
      <c r="N76" s="9" t="s">
        <v>31</v>
      </c>
      <c r="O76" s="9" t="s">
        <v>31</v>
      </c>
      <c r="P76" s="11" t="s">
        <v>31</v>
      </c>
      <c r="Q76" s="11" t="s">
        <v>31</v>
      </c>
      <c r="R76" s="33" t="s">
        <v>31</v>
      </c>
      <c r="S76" s="37">
        <f t="shared" si="18"/>
        <v>1.7781512503836436</v>
      </c>
      <c r="T76" s="37">
        <f t="shared" si="19"/>
        <v>3.3679767852945943</v>
      </c>
      <c r="U76" s="42">
        <f t="shared" si="20"/>
        <v>3.3424226808222062</v>
      </c>
      <c r="V76" s="41" t="e">
        <f t="shared" si="21"/>
        <v>#VALUE!</v>
      </c>
      <c r="W76" s="43" t="e">
        <f t="shared" si="22"/>
        <v>#VALUE!</v>
      </c>
      <c r="X76" s="43" t="e">
        <f t="shared" si="23"/>
        <v>#VALUE!</v>
      </c>
    </row>
    <row r="77" spans="1:24" ht="14.25" customHeight="1">
      <c r="A77" s="49"/>
      <c r="B77" s="8">
        <v>50</v>
      </c>
      <c r="C77" s="8">
        <f t="shared" si="25"/>
        <v>25</v>
      </c>
      <c r="D77" s="19" t="s">
        <v>25</v>
      </c>
      <c r="E77" s="19" t="s">
        <v>70</v>
      </c>
      <c r="F77" s="17" t="s">
        <v>27</v>
      </c>
      <c r="G77" s="15" t="s">
        <v>28</v>
      </c>
      <c r="H77" s="21" t="s">
        <v>29</v>
      </c>
      <c r="I77" s="21" t="s">
        <v>51</v>
      </c>
      <c r="J77" s="8">
        <v>6</v>
      </c>
      <c r="K77" s="8">
        <v>21</v>
      </c>
      <c r="L77" s="8">
        <f t="shared" si="14"/>
        <v>250</v>
      </c>
      <c r="M77" s="9">
        <v>220</v>
      </c>
      <c r="N77" s="9" t="s">
        <v>31</v>
      </c>
      <c r="O77" s="9" t="s">
        <v>31</v>
      </c>
      <c r="P77" s="11" t="s">
        <v>31</v>
      </c>
      <c r="Q77" s="11" t="s">
        <v>31</v>
      </c>
      <c r="R77" s="33" t="s">
        <v>31</v>
      </c>
      <c r="S77" s="37">
        <f t="shared" si="18"/>
        <v>1.7781512503836436</v>
      </c>
      <c r="T77" s="37">
        <f t="shared" si="19"/>
        <v>3.3979400086720375</v>
      </c>
      <c r="U77" s="42">
        <f t="shared" si="20"/>
        <v>3.3424226808222062</v>
      </c>
      <c r="V77" s="41" t="e">
        <f t="shared" si="21"/>
        <v>#VALUE!</v>
      </c>
      <c r="W77" s="43" t="e">
        <f t="shared" si="22"/>
        <v>#VALUE!</v>
      </c>
      <c r="X77" s="43" t="e">
        <f t="shared" si="23"/>
        <v>#VALUE!</v>
      </c>
    </row>
    <row r="78" spans="1:24" ht="14.25" customHeight="1">
      <c r="A78" s="49"/>
      <c r="B78" s="8">
        <v>60</v>
      </c>
      <c r="C78" s="8">
        <f t="shared" si="25"/>
        <v>30</v>
      </c>
      <c r="D78" s="19" t="s">
        <v>25</v>
      </c>
      <c r="E78" s="19" t="s">
        <v>70</v>
      </c>
      <c r="F78" s="17" t="s">
        <v>27</v>
      </c>
      <c r="G78" s="15" t="s">
        <v>28</v>
      </c>
      <c r="H78" s="21" t="s">
        <v>29</v>
      </c>
      <c r="I78" s="21" t="s">
        <v>51</v>
      </c>
      <c r="J78" s="8">
        <v>6</v>
      </c>
      <c r="K78" s="8">
        <v>24</v>
      </c>
      <c r="L78" s="8">
        <f t="shared" si="14"/>
        <v>300</v>
      </c>
      <c r="M78" s="9">
        <v>220</v>
      </c>
      <c r="N78" s="9" t="s">
        <v>31</v>
      </c>
      <c r="O78" s="9" t="s">
        <v>31</v>
      </c>
      <c r="P78" s="11" t="s">
        <v>31</v>
      </c>
      <c r="Q78" s="11" t="s">
        <v>31</v>
      </c>
      <c r="R78" s="33" t="s">
        <v>31</v>
      </c>
      <c r="S78" s="37">
        <f t="shared" si="18"/>
        <v>1.7781512503836436</v>
      </c>
      <c r="T78" s="37">
        <f t="shared" si="19"/>
        <v>3.4771212547196626</v>
      </c>
      <c r="U78" s="42">
        <f t="shared" si="20"/>
        <v>3.3424226808222062</v>
      </c>
      <c r="V78" s="41" t="e">
        <f t="shared" si="21"/>
        <v>#VALUE!</v>
      </c>
      <c r="W78" s="43" t="e">
        <f t="shared" si="22"/>
        <v>#VALUE!</v>
      </c>
      <c r="X78" s="43" t="e">
        <f t="shared" si="23"/>
        <v>#VALUE!</v>
      </c>
    </row>
    <row r="79" spans="1:24" ht="14.25" customHeight="1">
      <c r="A79" s="49"/>
      <c r="B79" s="8">
        <v>70</v>
      </c>
      <c r="C79" s="8">
        <f t="shared" si="25"/>
        <v>35</v>
      </c>
      <c r="D79" s="19" t="s">
        <v>25</v>
      </c>
      <c r="E79" s="19" t="s">
        <v>70</v>
      </c>
      <c r="F79" s="17" t="s">
        <v>27</v>
      </c>
      <c r="G79" s="15" t="s">
        <v>28</v>
      </c>
      <c r="H79" s="21" t="s">
        <v>29</v>
      </c>
      <c r="I79" s="21" t="s">
        <v>51</v>
      </c>
      <c r="J79" s="8">
        <v>6</v>
      </c>
      <c r="K79" s="8">
        <v>20</v>
      </c>
      <c r="L79" s="8">
        <f t="shared" si="14"/>
        <v>233.33333333333334</v>
      </c>
      <c r="M79" s="9">
        <v>220</v>
      </c>
      <c r="N79" s="9" t="s">
        <v>31</v>
      </c>
      <c r="O79" s="9" t="s">
        <v>31</v>
      </c>
      <c r="P79" s="11" t="s">
        <v>31</v>
      </c>
      <c r="Q79" s="11" t="s">
        <v>31</v>
      </c>
      <c r="R79" s="33" t="s">
        <v>31</v>
      </c>
      <c r="S79" s="37">
        <f t="shared" si="18"/>
        <v>1.7781512503836436</v>
      </c>
      <c r="T79" s="37">
        <f t="shared" si="19"/>
        <v>3.3679767852945943</v>
      </c>
      <c r="U79" s="42">
        <f t="shared" si="20"/>
        <v>3.3424226808222062</v>
      </c>
      <c r="V79" s="41" t="e">
        <f t="shared" si="21"/>
        <v>#VALUE!</v>
      </c>
      <c r="W79" s="43" t="e">
        <f t="shared" si="22"/>
        <v>#VALUE!</v>
      </c>
      <c r="X79" s="43" t="e">
        <f t="shared" si="23"/>
        <v>#VALUE!</v>
      </c>
    </row>
    <row r="80" spans="1:24" ht="14.25" customHeight="1">
      <c r="A80" s="50"/>
      <c r="B80" s="8">
        <v>80</v>
      </c>
      <c r="C80" s="8">
        <f t="shared" si="25"/>
        <v>40</v>
      </c>
      <c r="D80" s="19" t="s">
        <v>25</v>
      </c>
      <c r="E80" s="19" t="s">
        <v>70</v>
      </c>
      <c r="F80" s="17" t="s">
        <v>27</v>
      </c>
      <c r="G80" s="15" t="s">
        <v>28</v>
      </c>
      <c r="H80" s="21" t="s">
        <v>29</v>
      </c>
      <c r="I80" s="21" t="s">
        <v>51</v>
      </c>
      <c r="J80" s="8">
        <v>6</v>
      </c>
      <c r="K80" s="8">
        <v>12</v>
      </c>
      <c r="L80" s="8">
        <f t="shared" si="14"/>
        <v>100</v>
      </c>
      <c r="M80" s="9">
        <v>220</v>
      </c>
      <c r="N80" s="9" t="s">
        <v>31</v>
      </c>
      <c r="O80" s="9" t="s">
        <v>31</v>
      </c>
      <c r="P80" s="11" t="s">
        <v>31</v>
      </c>
      <c r="Q80" s="11" t="s">
        <v>31</v>
      </c>
      <c r="R80" s="33" t="s">
        <v>31</v>
      </c>
      <c r="S80" s="37">
        <f t="shared" si="18"/>
        <v>1.7781512503836436</v>
      </c>
      <c r="T80" s="37">
        <f t="shared" si="19"/>
        <v>3</v>
      </c>
      <c r="U80" s="42">
        <f t="shared" si="20"/>
        <v>3.3424226808222062</v>
      </c>
      <c r="V80" s="41" t="e">
        <f t="shared" si="21"/>
        <v>#VALUE!</v>
      </c>
      <c r="W80" s="43" t="e">
        <f t="shared" si="22"/>
        <v>#VALUE!</v>
      </c>
      <c r="X80" s="43" t="e">
        <f t="shared" si="23"/>
        <v>#VALUE!</v>
      </c>
    </row>
    <row r="81" spans="1:24" ht="14.25" customHeight="1">
      <c r="A81" s="45" t="s">
        <v>71</v>
      </c>
      <c r="B81" s="8">
        <v>3</v>
      </c>
      <c r="C81" s="8">
        <f t="shared" si="25"/>
        <v>1.5</v>
      </c>
      <c r="D81" s="19" t="s">
        <v>42</v>
      </c>
      <c r="E81" s="19" t="s">
        <v>43</v>
      </c>
      <c r="F81" s="17" t="s">
        <v>34</v>
      </c>
      <c r="G81" s="15" t="s">
        <v>66</v>
      </c>
      <c r="H81" s="21" t="s">
        <v>54</v>
      </c>
      <c r="I81" s="21" t="s">
        <v>36</v>
      </c>
      <c r="J81" s="8">
        <v>6.4375999999999998</v>
      </c>
      <c r="K81" s="8">
        <v>7.1860999999999997</v>
      </c>
      <c r="L81" s="8">
        <f t="shared" si="14"/>
        <v>11.627003852367341</v>
      </c>
      <c r="M81" s="9">
        <v>41</v>
      </c>
      <c r="N81" s="9">
        <v>44</v>
      </c>
      <c r="O81" s="10">
        <f t="shared" ref="O81:O82" si="26">(N81-M81)/M81*100</f>
        <v>7.3170731707317067</v>
      </c>
      <c r="P81" s="11">
        <v>2.25</v>
      </c>
      <c r="Q81" s="11">
        <v>2.2000000000000002</v>
      </c>
      <c r="R81" s="33">
        <f t="shared" ref="R81:R82" si="27">((Q81-P81)/P81)*100</f>
        <v>-2.2222222222222143</v>
      </c>
      <c r="S81" s="37">
        <f t="shared" si="18"/>
        <v>1.8087239883188984</v>
      </c>
      <c r="T81" s="37">
        <f t="shared" si="19"/>
        <v>2.0654678163601727</v>
      </c>
      <c r="U81" s="42">
        <f t="shared" si="20"/>
        <v>2.6127838567197355</v>
      </c>
      <c r="V81" s="41">
        <f t="shared" si="21"/>
        <v>1.8643373979999269</v>
      </c>
      <c r="W81" s="43">
        <f t="shared" si="22"/>
        <v>1.3521825181113625</v>
      </c>
      <c r="X81" s="43" t="e">
        <f t="shared" si="23"/>
        <v>#NUM!</v>
      </c>
    </row>
    <row r="82" spans="1:24" ht="14.25" customHeight="1">
      <c r="A82" s="49"/>
      <c r="B82" s="8">
        <v>5</v>
      </c>
      <c r="C82" s="8">
        <f t="shared" si="25"/>
        <v>2.5</v>
      </c>
      <c r="D82" s="19" t="s">
        <v>42</v>
      </c>
      <c r="E82" s="19" t="s">
        <v>43</v>
      </c>
      <c r="F82" s="17" t="s">
        <v>34</v>
      </c>
      <c r="G82" s="15" t="s">
        <v>66</v>
      </c>
      <c r="H82" s="21" t="s">
        <v>54</v>
      </c>
      <c r="I82" s="21" t="s">
        <v>36</v>
      </c>
      <c r="J82" s="8">
        <v>6.4375999999999998</v>
      </c>
      <c r="K82" s="8">
        <v>7.2416</v>
      </c>
      <c r="L82" s="8">
        <f t="shared" si="14"/>
        <v>12.4891263825028</v>
      </c>
      <c r="M82" s="9">
        <v>41</v>
      </c>
      <c r="N82" s="9">
        <v>38</v>
      </c>
      <c r="O82" s="10">
        <f t="shared" si="26"/>
        <v>-7.3170731707317067</v>
      </c>
      <c r="P82" s="11">
        <v>2.25</v>
      </c>
      <c r="Q82" s="11">
        <v>1.8</v>
      </c>
      <c r="R82" s="33">
        <f t="shared" si="27"/>
        <v>-20</v>
      </c>
      <c r="S82" s="37">
        <f t="shared" si="18"/>
        <v>1.8087239883188984</v>
      </c>
      <c r="T82" s="37">
        <f t="shared" si="19"/>
        <v>2.0965320604295532</v>
      </c>
      <c r="U82" s="42">
        <f t="shared" si="20"/>
        <v>2.6127838567197355</v>
      </c>
      <c r="V82" s="41" t="e">
        <f t="shared" si="21"/>
        <v>#NUM!</v>
      </c>
      <c r="W82" s="43">
        <f t="shared" si="22"/>
        <v>1.3521825181113625</v>
      </c>
      <c r="X82" s="43" t="e">
        <f t="shared" si="23"/>
        <v>#NUM!</v>
      </c>
    </row>
    <row r="83" spans="1:24" ht="14.25" customHeight="1">
      <c r="A83" s="50"/>
      <c r="B83" s="8">
        <v>7</v>
      </c>
      <c r="C83" s="8">
        <f t="shared" si="25"/>
        <v>3.5</v>
      </c>
      <c r="D83" s="19" t="s">
        <v>42</v>
      </c>
      <c r="E83" s="19" t="s">
        <v>43</v>
      </c>
      <c r="F83" s="17" t="s">
        <v>34</v>
      </c>
      <c r="G83" s="15" t="s">
        <v>66</v>
      </c>
      <c r="H83" s="21" t="s">
        <v>54</v>
      </c>
      <c r="I83" s="21" t="s">
        <v>36</v>
      </c>
      <c r="J83" s="8">
        <v>6.4375999999999998</v>
      </c>
      <c r="K83" s="8">
        <v>6.8072999999999997</v>
      </c>
      <c r="L83" s="8">
        <f t="shared" si="14"/>
        <v>5.7428234124518447</v>
      </c>
      <c r="M83" s="9">
        <v>41</v>
      </c>
      <c r="N83" s="9">
        <v>35</v>
      </c>
      <c r="O83" s="10">
        <f>(N83-M83)/M83*100</f>
        <v>-14.634146341463413</v>
      </c>
      <c r="P83" s="11">
        <v>2.25</v>
      </c>
      <c r="Q83" s="11">
        <v>1.5</v>
      </c>
      <c r="R83" s="33">
        <f>((Q83-P83)/P83)*100</f>
        <v>-33.333333333333329</v>
      </c>
      <c r="S83" s="37">
        <f t="shared" si="18"/>
        <v>1.8087239883188984</v>
      </c>
      <c r="T83" s="37">
        <f t="shared" si="19"/>
        <v>1.7591254622542085</v>
      </c>
      <c r="U83" s="42">
        <f t="shared" si="20"/>
        <v>2.6127838567197355</v>
      </c>
      <c r="V83" s="41" t="e">
        <f t="shared" si="21"/>
        <v>#NUM!</v>
      </c>
      <c r="W83" s="43">
        <f t="shared" si="22"/>
        <v>1.3521825181113625</v>
      </c>
      <c r="X83" s="43" t="e">
        <f t="shared" si="23"/>
        <v>#NUM!</v>
      </c>
    </row>
    <row r="84" spans="1:24" ht="14.25" customHeight="1">
      <c r="A84" s="45" t="s">
        <v>72</v>
      </c>
      <c r="B84" s="8">
        <v>3</v>
      </c>
      <c r="C84" s="8">
        <f t="shared" si="25"/>
        <v>1.5</v>
      </c>
      <c r="D84" s="19" t="s">
        <v>42</v>
      </c>
      <c r="E84" s="19" t="s">
        <v>43</v>
      </c>
      <c r="F84" s="17" t="s">
        <v>34</v>
      </c>
      <c r="G84" s="15" t="s">
        <v>28</v>
      </c>
      <c r="H84" s="21" t="s">
        <v>54</v>
      </c>
      <c r="I84" s="21" t="s">
        <v>36</v>
      </c>
      <c r="J84" s="8">
        <v>3</v>
      </c>
      <c r="K84" s="8">
        <v>5</v>
      </c>
      <c r="L84" s="8">
        <f t="shared" si="14"/>
        <v>66.666666666666657</v>
      </c>
      <c r="M84" s="9" t="s">
        <v>31</v>
      </c>
      <c r="N84" s="9" t="s">
        <v>31</v>
      </c>
      <c r="O84" s="9" t="s">
        <v>31</v>
      </c>
      <c r="P84" s="11" t="s">
        <v>31</v>
      </c>
      <c r="Q84" s="11" t="s">
        <v>31</v>
      </c>
      <c r="R84" s="33" t="s">
        <v>31</v>
      </c>
      <c r="S84" s="37">
        <f t="shared" si="18"/>
        <v>1.4771212547196624</v>
      </c>
      <c r="T84" s="37">
        <f t="shared" si="19"/>
        <v>2.8239087409443187</v>
      </c>
      <c r="U84" s="42" t="e">
        <f t="shared" si="20"/>
        <v>#VALUE!</v>
      </c>
      <c r="V84" s="41" t="e">
        <f t="shared" si="21"/>
        <v>#VALUE!</v>
      </c>
      <c r="W84" s="43" t="e">
        <f t="shared" si="22"/>
        <v>#VALUE!</v>
      </c>
      <c r="X84" s="43" t="e">
        <f t="shared" si="23"/>
        <v>#VALUE!</v>
      </c>
    </row>
    <row r="85" spans="1:24" ht="14.25" customHeight="1">
      <c r="A85" s="49"/>
      <c r="B85" s="8">
        <v>5</v>
      </c>
      <c r="C85" s="8">
        <f t="shared" si="25"/>
        <v>2.5</v>
      </c>
      <c r="D85" s="19" t="s">
        <v>42</v>
      </c>
      <c r="E85" s="19" t="s">
        <v>43</v>
      </c>
      <c r="F85" s="17" t="s">
        <v>34</v>
      </c>
      <c r="G85" s="15" t="s">
        <v>28</v>
      </c>
      <c r="H85" s="21" t="s">
        <v>54</v>
      </c>
      <c r="I85" s="21" t="s">
        <v>36</v>
      </c>
      <c r="J85" s="8">
        <v>3</v>
      </c>
      <c r="K85" s="8">
        <v>7</v>
      </c>
      <c r="L85" s="8">
        <f t="shared" si="14"/>
        <v>133.33333333333331</v>
      </c>
      <c r="M85" s="9" t="s">
        <v>31</v>
      </c>
      <c r="N85" s="9" t="s">
        <v>31</v>
      </c>
      <c r="O85" s="9" t="s">
        <v>31</v>
      </c>
      <c r="P85" s="11" t="s">
        <v>31</v>
      </c>
      <c r="Q85" s="11" t="s">
        <v>31</v>
      </c>
      <c r="R85" s="33" t="s">
        <v>31</v>
      </c>
      <c r="S85" s="37">
        <f t="shared" si="18"/>
        <v>1.4771212547196624</v>
      </c>
      <c r="T85" s="37">
        <f t="shared" si="19"/>
        <v>3.1249387366082999</v>
      </c>
      <c r="U85" s="42" t="e">
        <f t="shared" si="20"/>
        <v>#VALUE!</v>
      </c>
      <c r="V85" s="41" t="e">
        <f t="shared" si="21"/>
        <v>#VALUE!</v>
      </c>
      <c r="W85" s="43" t="e">
        <f t="shared" si="22"/>
        <v>#VALUE!</v>
      </c>
      <c r="X85" s="43" t="e">
        <f t="shared" si="23"/>
        <v>#VALUE!</v>
      </c>
    </row>
    <row r="86" spans="1:24" ht="14.25" customHeight="1">
      <c r="A86" s="49"/>
      <c r="B86" s="8">
        <v>7</v>
      </c>
      <c r="C86" s="8">
        <f t="shared" si="25"/>
        <v>3.5</v>
      </c>
      <c r="D86" s="19" t="s">
        <v>42</v>
      </c>
      <c r="E86" s="19" t="s">
        <v>43</v>
      </c>
      <c r="F86" s="17" t="s">
        <v>34</v>
      </c>
      <c r="G86" s="15" t="s">
        <v>28</v>
      </c>
      <c r="H86" s="21" t="s">
        <v>54</v>
      </c>
      <c r="I86" s="21" t="s">
        <v>36</v>
      </c>
      <c r="J86" s="8">
        <v>3</v>
      </c>
      <c r="K86" s="8">
        <v>8</v>
      </c>
      <c r="L86" s="8">
        <f t="shared" si="14"/>
        <v>166.66666666666669</v>
      </c>
      <c r="M86" s="9" t="s">
        <v>31</v>
      </c>
      <c r="N86" s="9" t="s">
        <v>31</v>
      </c>
      <c r="O86" s="9" t="s">
        <v>31</v>
      </c>
      <c r="P86" s="11" t="s">
        <v>31</v>
      </c>
      <c r="Q86" s="11" t="s">
        <v>31</v>
      </c>
      <c r="R86" s="33" t="s">
        <v>31</v>
      </c>
      <c r="S86" s="37">
        <f t="shared" si="18"/>
        <v>1.4771212547196624</v>
      </c>
      <c r="T86" s="37">
        <f t="shared" si="19"/>
        <v>3.2218487496163566</v>
      </c>
      <c r="U86" s="42" t="e">
        <f t="shared" si="20"/>
        <v>#VALUE!</v>
      </c>
      <c r="V86" s="41" t="e">
        <f t="shared" si="21"/>
        <v>#VALUE!</v>
      </c>
      <c r="W86" s="43" t="e">
        <f t="shared" si="22"/>
        <v>#VALUE!</v>
      </c>
      <c r="X86" s="43" t="e">
        <f t="shared" si="23"/>
        <v>#VALUE!</v>
      </c>
    </row>
    <row r="87" spans="1:24" ht="14.25" customHeight="1">
      <c r="A87" s="49"/>
      <c r="B87" s="8">
        <v>9</v>
      </c>
      <c r="C87" s="8">
        <f t="shared" si="25"/>
        <v>4.5</v>
      </c>
      <c r="D87" s="19" t="s">
        <v>42</v>
      </c>
      <c r="E87" s="19" t="s">
        <v>43</v>
      </c>
      <c r="F87" s="17" t="s">
        <v>34</v>
      </c>
      <c r="G87" s="15" t="s">
        <v>28</v>
      </c>
      <c r="H87" s="21" t="s">
        <v>54</v>
      </c>
      <c r="I87" s="21" t="s">
        <v>36</v>
      </c>
      <c r="J87" s="8">
        <v>3</v>
      </c>
      <c r="K87" s="8">
        <v>9</v>
      </c>
      <c r="L87" s="8">
        <f t="shared" si="14"/>
        <v>200</v>
      </c>
      <c r="M87" s="9" t="s">
        <v>31</v>
      </c>
      <c r="N87" s="9" t="s">
        <v>31</v>
      </c>
      <c r="O87" s="9" t="s">
        <v>31</v>
      </c>
      <c r="P87" s="11" t="s">
        <v>31</v>
      </c>
      <c r="Q87" s="11" t="s">
        <v>31</v>
      </c>
      <c r="R87" s="33" t="s">
        <v>31</v>
      </c>
      <c r="S87" s="37">
        <f t="shared" si="18"/>
        <v>1.4771212547196624</v>
      </c>
      <c r="T87" s="37">
        <f t="shared" si="19"/>
        <v>3.3010299956639813</v>
      </c>
      <c r="U87" s="42" t="e">
        <f t="shared" si="20"/>
        <v>#VALUE!</v>
      </c>
      <c r="V87" s="41" t="e">
        <f t="shared" si="21"/>
        <v>#VALUE!</v>
      </c>
      <c r="W87" s="43" t="e">
        <f t="shared" si="22"/>
        <v>#VALUE!</v>
      </c>
      <c r="X87" s="43" t="e">
        <f t="shared" si="23"/>
        <v>#VALUE!</v>
      </c>
    </row>
    <row r="88" spans="1:24" ht="14.25" customHeight="1">
      <c r="A88" s="49"/>
      <c r="B88" s="8">
        <v>11</v>
      </c>
      <c r="C88" s="8">
        <f t="shared" si="25"/>
        <v>5.5</v>
      </c>
      <c r="D88" s="19" t="s">
        <v>42</v>
      </c>
      <c r="E88" s="19" t="s">
        <v>43</v>
      </c>
      <c r="F88" s="17" t="s">
        <v>34</v>
      </c>
      <c r="G88" s="15" t="s">
        <v>28</v>
      </c>
      <c r="H88" s="21" t="s">
        <v>54</v>
      </c>
      <c r="I88" s="21" t="s">
        <v>36</v>
      </c>
      <c r="J88" s="8">
        <v>3</v>
      </c>
      <c r="K88" s="8">
        <v>11</v>
      </c>
      <c r="L88" s="8">
        <f t="shared" si="14"/>
        <v>266.66666666666663</v>
      </c>
      <c r="M88" s="9" t="s">
        <v>31</v>
      </c>
      <c r="N88" s="9" t="s">
        <v>31</v>
      </c>
      <c r="O88" s="9" t="s">
        <v>31</v>
      </c>
      <c r="P88" s="11" t="s">
        <v>31</v>
      </c>
      <c r="Q88" s="11" t="s">
        <v>31</v>
      </c>
      <c r="R88" s="33" t="s">
        <v>31</v>
      </c>
      <c r="S88" s="37">
        <f t="shared" si="18"/>
        <v>1.4771212547196624</v>
      </c>
      <c r="T88" s="37">
        <f t="shared" si="19"/>
        <v>3.4259687322722812</v>
      </c>
      <c r="U88" s="42" t="e">
        <f t="shared" si="20"/>
        <v>#VALUE!</v>
      </c>
      <c r="V88" s="41" t="e">
        <f t="shared" si="21"/>
        <v>#VALUE!</v>
      </c>
      <c r="W88" s="43" t="e">
        <f t="shared" si="22"/>
        <v>#VALUE!</v>
      </c>
      <c r="X88" s="43" t="e">
        <f t="shared" si="23"/>
        <v>#VALUE!</v>
      </c>
    </row>
    <row r="89" spans="1:24" ht="14.25" customHeight="1">
      <c r="A89" s="50"/>
      <c r="B89" s="8">
        <v>13</v>
      </c>
      <c r="C89" s="8">
        <f t="shared" si="25"/>
        <v>6.5</v>
      </c>
      <c r="D89" s="19" t="s">
        <v>42</v>
      </c>
      <c r="E89" s="19" t="s">
        <v>43</v>
      </c>
      <c r="F89" s="17" t="s">
        <v>34</v>
      </c>
      <c r="G89" s="15" t="s">
        <v>28</v>
      </c>
      <c r="H89" s="21" t="s">
        <v>54</v>
      </c>
      <c r="I89" s="21" t="s">
        <v>36</v>
      </c>
      <c r="J89" s="8">
        <v>3</v>
      </c>
      <c r="K89" s="8">
        <v>12</v>
      </c>
      <c r="L89" s="8">
        <f t="shared" si="14"/>
        <v>300</v>
      </c>
      <c r="M89" s="9" t="s">
        <v>31</v>
      </c>
      <c r="N89" s="9" t="s">
        <v>31</v>
      </c>
      <c r="O89" s="9" t="s">
        <v>31</v>
      </c>
      <c r="P89" s="11" t="s">
        <v>31</v>
      </c>
      <c r="Q89" s="11" t="s">
        <v>31</v>
      </c>
      <c r="R89" s="33" t="s">
        <v>31</v>
      </c>
      <c r="S89" s="37">
        <f t="shared" si="18"/>
        <v>1.4771212547196624</v>
      </c>
      <c r="T89" s="37">
        <f t="shared" si="19"/>
        <v>3.4771212547196626</v>
      </c>
      <c r="U89" s="42" t="e">
        <f t="shared" si="20"/>
        <v>#VALUE!</v>
      </c>
      <c r="V89" s="41" t="e">
        <f t="shared" si="21"/>
        <v>#VALUE!</v>
      </c>
      <c r="W89" s="43" t="e">
        <f t="shared" si="22"/>
        <v>#VALUE!</v>
      </c>
      <c r="X89" s="43" t="e">
        <f t="shared" si="23"/>
        <v>#VALUE!</v>
      </c>
    </row>
    <row r="90" spans="1:24" ht="14.25" customHeight="1">
      <c r="A90" s="45" t="s">
        <v>73</v>
      </c>
      <c r="B90" s="8">
        <v>1</v>
      </c>
      <c r="C90" s="8">
        <f t="shared" si="25"/>
        <v>0.5</v>
      </c>
      <c r="D90" s="19" t="s">
        <v>25</v>
      </c>
      <c r="E90" s="19" t="s">
        <v>74</v>
      </c>
      <c r="F90" s="17" t="s">
        <v>34</v>
      </c>
      <c r="G90" s="15" t="s">
        <v>28</v>
      </c>
      <c r="H90" s="21" t="s">
        <v>54</v>
      </c>
      <c r="I90" s="21" t="s">
        <v>36</v>
      </c>
      <c r="J90" s="8">
        <v>1</v>
      </c>
      <c r="K90" s="8">
        <v>1.1000000000000001</v>
      </c>
      <c r="L90" s="8">
        <f t="shared" si="14"/>
        <v>10.000000000000009</v>
      </c>
      <c r="M90" s="9" t="s">
        <v>31</v>
      </c>
      <c r="N90" s="9" t="s">
        <v>31</v>
      </c>
      <c r="O90" s="9" t="s">
        <v>31</v>
      </c>
      <c r="P90" s="11" t="s">
        <v>31</v>
      </c>
      <c r="Q90" s="11" t="s">
        <v>31</v>
      </c>
      <c r="R90" s="33" t="s">
        <v>31</v>
      </c>
      <c r="S90" s="37">
        <f t="shared" si="18"/>
        <v>1</v>
      </c>
      <c r="T90" s="37">
        <f t="shared" si="19"/>
        <v>2.0000000000000004</v>
      </c>
      <c r="U90" s="42" t="e">
        <f t="shared" si="20"/>
        <v>#VALUE!</v>
      </c>
      <c r="V90" s="41" t="e">
        <f t="shared" si="21"/>
        <v>#VALUE!</v>
      </c>
      <c r="W90" s="43" t="e">
        <f t="shared" si="22"/>
        <v>#VALUE!</v>
      </c>
      <c r="X90" s="43" t="e">
        <f t="shared" si="23"/>
        <v>#VALUE!</v>
      </c>
    </row>
    <row r="91" spans="1:24" ht="14.25" customHeight="1">
      <c r="A91" s="49"/>
      <c r="B91" s="8">
        <v>3</v>
      </c>
      <c r="C91" s="8">
        <f t="shared" si="25"/>
        <v>1.5</v>
      </c>
      <c r="D91" s="19" t="s">
        <v>25</v>
      </c>
      <c r="E91" s="19" t="s">
        <v>74</v>
      </c>
      <c r="F91" s="17" t="s">
        <v>34</v>
      </c>
      <c r="G91" s="15" t="s">
        <v>28</v>
      </c>
      <c r="H91" s="21" t="s">
        <v>54</v>
      </c>
      <c r="I91" s="21" t="s">
        <v>36</v>
      </c>
      <c r="J91" s="8">
        <v>1</v>
      </c>
      <c r="K91" s="8">
        <v>1.5</v>
      </c>
      <c r="L91" s="8">
        <f t="shared" si="14"/>
        <v>50</v>
      </c>
      <c r="M91" s="9" t="s">
        <v>31</v>
      </c>
      <c r="N91" s="9" t="s">
        <v>31</v>
      </c>
      <c r="O91" s="9" t="s">
        <v>31</v>
      </c>
      <c r="P91" s="11" t="s">
        <v>31</v>
      </c>
      <c r="Q91" s="11" t="s">
        <v>31</v>
      </c>
      <c r="R91" s="33" t="s">
        <v>31</v>
      </c>
      <c r="S91" s="37">
        <f t="shared" si="18"/>
        <v>1</v>
      </c>
      <c r="T91" s="37">
        <f t="shared" si="19"/>
        <v>2.6989700043360187</v>
      </c>
      <c r="U91" s="42" t="e">
        <f t="shared" si="20"/>
        <v>#VALUE!</v>
      </c>
      <c r="V91" s="41" t="e">
        <f t="shared" si="21"/>
        <v>#VALUE!</v>
      </c>
      <c r="W91" s="43" t="e">
        <f t="shared" si="22"/>
        <v>#VALUE!</v>
      </c>
      <c r="X91" s="43" t="e">
        <f t="shared" si="23"/>
        <v>#VALUE!</v>
      </c>
    </row>
    <row r="92" spans="1:24" ht="14.25" customHeight="1">
      <c r="A92" s="50"/>
      <c r="B92" s="8">
        <v>5</v>
      </c>
      <c r="C92" s="8">
        <f t="shared" si="25"/>
        <v>2.5</v>
      </c>
      <c r="D92" s="19" t="s">
        <v>25</v>
      </c>
      <c r="E92" s="19" t="s">
        <v>74</v>
      </c>
      <c r="F92" s="17" t="s">
        <v>34</v>
      </c>
      <c r="G92" s="15" t="s">
        <v>28</v>
      </c>
      <c r="H92" s="21" t="s">
        <v>54</v>
      </c>
      <c r="I92" s="21" t="s">
        <v>36</v>
      </c>
      <c r="J92" s="8">
        <v>1</v>
      </c>
      <c r="K92" s="8">
        <v>2.5</v>
      </c>
      <c r="L92" s="8">
        <f t="shared" si="14"/>
        <v>150</v>
      </c>
      <c r="M92" s="9" t="s">
        <v>31</v>
      </c>
      <c r="N92" s="9" t="s">
        <v>31</v>
      </c>
      <c r="O92" s="9" t="s">
        <v>31</v>
      </c>
      <c r="P92" s="11" t="s">
        <v>31</v>
      </c>
      <c r="Q92" s="11" t="s">
        <v>31</v>
      </c>
      <c r="R92" s="33" t="s">
        <v>31</v>
      </c>
      <c r="S92" s="37">
        <f t="shared" si="18"/>
        <v>1</v>
      </c>
      <c r="T92" s="37">
        <f t="shared" si="19"/>
        <v>3.1760912590556813</v>
      </c>
      <c r="U92" s="42" t="e">
        <f t="shared" si="20"/>
        <v>#VALUE!</v>
      </c>
      <c r="V92" s="41" t="e">
        <f t="shared" si="21"/>
        <v>#VALUE!</v>
      </c>
      <c r="W92" s="43" t="e">
        <f t="shared" si="22"/>
        <v>#VALUE!</v>
      </c>
      <c r="X92" s="43" t="e">
        <f t="shared" si="23"/>
        <v>#VALUE!</v>
      </c>
    </row>
    <row r="93" spans="1:24" ht="14.25" customHeight="1">
      <c r="A93" s="48" t="s">
        <v>75</v>
      </c>
      <c r="B93" s="8">
        <v>1</v>
      </c>
      <c r="C93" s="8">
        <f t="shared" si="25"/>
        <v>0.5</v>
      </c>
      <c r="D93" s="19" t="s">
        <v>25</v>
      </c>
      <c r="E93" s="19" t="s">
        <v>74</v>
      </c>
      <c r="F93" s="17" t="s">
        <v>34</v>
      </c>
      <c r="G93" s="15" t="s">
        <v>28</v>
      </c>
      <c r="H93" s="21" t="s">
        <v>54</v>
      </c>
      <c r="I93" s="21" t="s">
        <v>36</v>
      </c>
      <c r="J93" s="8">
        <v>1</v>
      </c>
      <c r="K93" s="8">
        <v>0.5</v>
      </c>
      <c r="L93" s="8">
        <f t="shared" si="14"/>
        <v>-50</v>
      </c>
      <c r="M93" s="9" t="s">
        <v>31</v>
      </c>
      <c r="N93" s="9" t="s">
        <v>31</v>
      </c>
      <c r="O93" s="9" t="s">
        <v>31</v>
      </c>
      <c r="P93" s="11" t="s">
        <v>31</v>
      </c>
      <c r="Q93" s="11" t="s">
        <v>31</v>
      </c>
      <c r="R93" s="33" t="s">
        <v>31</v>
      </c>
      <c r="S93" s="37">
        <f t="shared" si="18"/>
        <v>1</v>
      </c>
      <c r="T93" s="37" t="e">
        <f t="shared" si="19"/>
        <v>#NUM!</v>
      </c>
      <c r="U93" s="42" t="e">
        <f t="shared" si="20"/>
        <v>#VALUE!</v>
      </c>
      <c r="V93" s="41" t="e">
        <f t="shared" si="21"/>
        <v>#VALUE!</v>
      </c>
      <c r="W93" s="43" t="e">
        <f t="shared" si="22"/>
        <v>#VALUE!</v>
      </c>
      <c r="X93" s="43" t="e">
        <f t="shared" si="23"/>
        <v>#VALUE!</v>
      </c>
    </row>
    <row r="94" spans="1:24" ht="15" customHeight="1">
      <c r="A94" s="49"/>
      <c r="B94" s="8">
        <v>4</v>
      </c>
      <c r="C94" s="8">
        <f t="shared" si="25"/>
        <v>2</v>
      </c>
      <c r="D94" s="19" t="s">
        <v>25</v>
      </c>
      <c r="E94" s="19" t="s">
        <v>74</v>
      </c>
      <c r="F94" s="17" t="s">
        <v>34</v>
      </c>
      <c r="G94" s="15" t="s">
        <v>28</v>
      </c>
      <c r="H94" s="21" t="s">
        <v>54</v>
      </c>
      <c r="I94" s="21" t="s">
        <v>36</v>
      </c>
      <c r="J94" s="8">
        <v>1</v>
      </c>
      <c r="K94" s="8">
        <v>1</v>
      </c>
      <c r="L94" s="8">
        <f t="shared" si="14"/>
        <v>0</v>
      </c>
      <c r="M94" s="9" t="s">
        <v>31</v>
      </c>
      <c r="N94" s="9" t="s">
        <v>31</v>
      </c>
      <c r="O94" s="9" t="s">
        <v>31</v>
      </c>
      <c r="P94" s="11" t="s">
        <v>31</v>
      </c>
      <c r="Q94" s="11" t="s">
        <v>31</v>
      </c>
      <c r="R94" s="33" t="s">
        <v>31</v>
      </c>
      <c r="S94" s="37">
        <f t="shared" si="18"/>
        <v>1</v>
      </c>
      <c r="T94" s="37" t="e">
        <f t="shared" si="19"/>
        <v>#NUM!</v>
      </c>
      <c r="U94" s="42" t="e">
        <f t="shared" si="20"/>
        <v>#VALUE!</v>
      </c>
      <c r="V94" s="41" t="e">
        <f t="shared" si="21"/>
        <v>#VALUE!</v>
      </c>
      <c r="W94" s="43" t="e">
        <f t="shared" si="22"/>
        <v>#VALUE!</v>
      </c>
      <c r="X94" s="43" t="e">
        <f t="shared" si="23"/>
        <v>#VALUE!</v>
      </c>
    </row>
    <row r="95" spans="1:24" ht="14" customHeight="1">
      <c r="A95" s="50"/>
      <c r="B95" s="8">
        <v>8</v>
      </c>
      <c r="C95" s="8">
        <f t="shared" si="25"/>
        <v>4</v>
      </c>
      <c r="D95" s="19" t="s">
        <v>25</v>
      </c>
      <c r="E95" s="19" t="s">
        <v>74</v>
      </c>
      <c r="F95" s="17" t="s">
        <v>34</v>
      </c>
      <c r="G95" s="15" t="s">
        <v>28</v>
      </c>
      <c r="H95" s="21" t="s">
        <v>54</v>
      </c>
      <c r="I95" s="21" t="s">
        <v>36</v>
      </c>
      <c r="J95" s="8">
        <v>1</v>
      </c>
      <c r="K95" s="8">
        <v>3</v>
      </c>
      <c r="L95" s="8">
        <f t="shared" si="14"/>
        <v>200</v>
      </c>
      <c r="M95" s="9" t="s">
        <v>31</v>
      </c>
      <c r="N95" s="9" t="s">
        <v>31</v>
      </c>
      <c r="O95" s="9" t="s">
        <v>31</v>
      </c>
      <c r="P95" s="11" t="s">
        <v>31</v>
      </c>
      <c r="Q95" s="11" t="s">
        <v>31</v>
      </c>
      <c r="R95" s="33" t="s">
        <v>31</v>
      </c>
      <c r="S95" s="37">
        <f t="shared" si="18"/>
        <v>1</v>
      </c>
      <c r="T95" s="37">
        <f t="shared" si="19"/>
        <v>3.3010299956639813</v>
      </c>
      <c r="U95" s="42" t="e">
        <f t="shared" si="20"/>
        <v>#VALUE!</v>
      </c>
      <c r="V95" s="41" t="e">
        <f t="shared" si="21"/>
        <v>#VALUE!</v>
      </c>
      <c r="W95" s="43" t="e">
        <f t="shared" si="22"/>
        <v>#VALUE!</v>
      </c>
      <c r="X95" s="43" t="e">
        <f t="shared" si="23"/>
        <v>#VALUE!</v>
      </c>
    </row>
    <row r="96" spans="1:24" ht="14.25" customHeight="1">
      <c r="A96" s="45" t="s">
        <v>76</v>
      </c>
      <c r="B96" s="8">
        <v>1</v>
      </c>
      <c r="C96" s="8">
        <f t="shared" si="25"/>
        <v>0.5</v>
      </c>
      <c r="D96" s="19" t="s">
        <v>25</v>
      </c>
      <c r="E96" s="19" t="s">
        <v>58</v>
      </c>
      <c r="F96" s="17" t="s">
        <v>34</v>
      </c>
      <c r="G96" s="15" t="s">
        <v>28</v>
      </c>
      <c r="H96" s="21" t="s">
        <v>54</v>
      </c>
      <c r="I96" s="21" t="s">
        <v>36</v>
      </c>
      <c r="J96" s="8">
        <v>1</v>
      </c>
      <c r="K96" s="8">
        <v>1.1000000000000001</v>
      </c>
      <c r="L96" s="8">
        <f t="shared" si="14"/>
        <v>10.000000000000009</v>
      </c>
      <c r="M96" s="9" t="s">
        <v>31</v>
      </c>
      <c r="N96" s="9" t="s">
        <v>31</v>
      </c>
      <c r="O96" s="9" t="s">
        <v>31</v>
      </c>
      <c r="P96" s="11" t="s">
        <v>31</v>
      </c>
      <c r="Q96" s="11" t="s">
        <v>31</v>
      </c>
      <c r="R96" s="33" t="s">
        <v>31</v>
      </c>
      <c r="S96" s="37">
        <f t="shared" si="18"/>
        <v>1</v>
      </c>
      <c r="T96" s="37">
        <f t="shared" si="19"/>
        <v>2.0000000000000004</v>
      </c>
      <c r="U96" s="42" t="e">
        <f t="shared" si="20"/>
        <v>#VALUE!</v>
      </c>
      <c r="V96" s="41" t="e">
        <f t="shared" si="21"/>
        <v>#VALUE!</v>
      </c>
      <c r="W96" s="43" t="e">
        <f t="shared" si="22"/>
        <v>#VALUE!</v>
      </c>
      <c r="X96" s="43" t="e">
        <f t="shared" si="23"/>
        <v>#VALUE!</v>
      </c>
    </row>
    <row r="97" spans="1:24" ht="14.25" customHeight="1">
      <c r="A97" s="49"/>
      <c r="B97" s="8">
        <v>3</v>
      </c>
      <c r="C97" s="8">
        <f t="shared" si="25"/>
        <v>1.5</v>
      </c>
      <c r="D97" s="19" t="s">
        <v>25</v>
      </c>
      <c r="E97" s="19" t="s">
        <v>58</v>
      </c>
      <c r="F97" s="17" t="s">
        <v>34</v>
      </c>
      <c r="G97" s="15" t="s">
        <v>28</v>
      </c>
      <c r="H97" s="21" t="s">
        <v>54</v>
      </c>
      <c r="I97" s="21" t="s">
        <v>36</v>
      </c>
      <c r="J97" s="8">
        <v>1</v>
      </c>
      <c r="K97" s="8">
        <v>1.2</v>
      </c>
      <c r="L97" s="8">
        <f t="shared" si="14"/>
        <v>19.999999999999996</v>
      </c>
      <c r="M97" s="9" t="s">
        <v>31</v>
      </c>
      <c r="N97" s="9" t="s">
        <v>31</v>
      </c>
      <c r="O97" s="9" t="s">
        <v>31</v>
      </c>
      <c r="P97" s="11" t="s">
        <v>31</v>
      </c>
      <c r="Q97" s="11" t="s">
        <v>31</v>
      </c>
      <c r="R97" s="33" t="s">
        <v>31</v>
      </c>
      <c r="S97" s="37">
        <f t="shared" si="18"/>
        <v>1</v>
      </c>
      <c r="T97" s="37">
        <f t="shared" si="19"/>
        <v>2.3010299956639813</v>
      </c>
      <c r="U97" s="42" t="e">
        <f t="shared" si="20"/>
        <v>#VALUE!</v>
      </c>
      <c r="V97" s="41" t="e">
        <f t="shared" si="21"/>
        <v>#VALUE!</v>
      </c>
      <c r="W97" s="43" t="e">
        <f t="shared" si="22"/>
        <v>#VALUE!</v>
      </c>
      <c r="X97" s="43" t="e">
        <f t="shared" si="23"/>
        <v>#VALUE!</v>
      </c>
    </row>
    <row r="98" spans="1:24" ht="14.25" customHeight="1">
      <c r="A98" s="49"/>
      <c r="B98" s="8">
        <v>5</v>
      </c>
      <c r="C98" s="8">
        <f t="shared" si="25"/>
        <v>2.5</v>
      </c>
      <c r="D98" s="19" t="s">
        <v>25</v>
      </c>
      <c r="E98" s="19" t="s">
        <v>58</v>
      </c>
      <c r="F98" s="17" t="s">
        <v>34</v>
      </c>
      <c r="G98" s="15" t="s">
        <v>28</v>
      </c>
      <c r="H98" s="21" t="s">
        <v>54</v>
      </c>
      <c r="I98" s="21" t="s">
        <v>36</v>
      </c>
      <c r="J98" s="8">
        <v>1</v>
      </c>
      <c r="K98" s="8">
        <v>1.3</v>
      </c>
      <c r="L98" s="8">
        <f t="shared" si="14"/>
        <v>30.000000000000004</v>
      </c>
      <c r="M98" s="9" t="s">
        <v>31</v>
      </c>
      <c r="N98" s="9" t="s">
        <v>31</v>
      </c>
      <c r="O98" s="9" t="s">
        <v>31</v>
      </c>
      <c r="P98" s="11" t="s">
        <v>31</v>
      </c>
      <c r="Q98" s="11" t="s">
        <v>31</v>
      </c>
      <c r="R98" s="33" t="s">
        <v>31</v>
      </c>
      <c r="S98" s="37">
        <f t="shared" si="18"/>
        <v>1</v>
      </c>
      <c r="T98" s="37">
        <f t="shared" si="19"/>
        <v>2.4771212547196626</v>
      </c>
      <c r="U98" s="42" t="e">
        <f t="shared" si="20"/>
        <v>#VALUE!</v>
      </c>
      <c r="V98" s="41" t="e">
        <f t="shared" si="21"/>
        <v>#VALUE!</v>
      </c>
      <c r="W98" s="43" t="e">
        <f t="shared" si="22"/>
        <v>#VALUE!</v>
      </c>
      <c r="X98" s="43" t="e">
        <f t="shared" si="23"/>
        <v>#VALUE!</v>
      </c>
    </row>
    <row r="99" spans="1:24" ht="14.25" customHeight="1">
      <c r="A99" s="50"/>
      <c r="B99" s="8">
        <v>7</v>
      </c>
      <c r="C99" s="8">
        <f t="shared" si="25"/>
        <v>3.5</v>
      </c>
      <c r="D99" s="19" t="s">
        <v>25</v>
      </c>
      <c r="E99" s="19" t="s">
        <v>58</v>
      </c>
      <c r="F99" s="17" t="s">
        <v>34</v>
      </c>
      <c r="G99" s="15" t="s">
        <v>28</v>
      </c>
      <c r="H99" s="21" t="s">
        <v>54</v>
      </c>
      <c r="I99" s="21" t="s">
        <v>36</v>
      </c>
      <c r="J99" s="8">
        <v>1</v>
      </c>
      <c r="K99" s="8">
        <v>1.4</v>
      </c>
      <c r="L99" s="8">
        <f t="shared" si="14"/>
        <v>39.999999999999993</v>
      </c>
      <c r="M99" s="9" t="s">
        <v>31</v>
      </c>
      <c r="N99" s="9" t="s">
        <v>31</v>
      </c>
      <c r="O99" s="9" t="s">
        <v>31</v>
      </c>
      <c r="P99" s="11" t="s">
        <v>31</v>
      </c>
      <c r="Q99" s="11" t="s">
        <v>31</v>
      </c>
      <c r="R99" s="33" t="s">
        <v>31</v>
      </c>
      <c r="S99" s="37">
        <f t="shared" si="18"/>
        <v>1</v>
      </c>
      <c r="T99" s="37">
        <f t="shared" si="19"/>
        <v>2.6020599913279625</v>
      </c>
      <c r="U99" s="42" t="e">
        <f t="shared" si="20"/>
        <v>#VALUE!</v>
      </c>
      <c r="V99" s="41" t="e">
        <f t="shared" si="21"/>
        <v>#VALUE!</v>
      </c>
      <c r="W99" s="43" t="e">
        <f t="shared" si="22"/>
        <v>#VALUE!</v>
      </c>
      <c r="X99" s="43" t="e">
        <f t="shared" si="23"/>
        <v>#VALUE!</v>
      </c>
    </row>
    <row r="100" spans="1:24" ht="14.25" customHeight="1">
      <c r="A100" s="45" t="s">
        <v>77</v>
      </c>
      <c r="B100" s="8">
        <v>5</v>
      </c>
      <c r="C100" s="8">
        <v>2</v>
      </c>
      <c r="D100" s="19" t="s">
        <v>25</v>
      </c>
      <c r="E100" s="19" t="s">
        <v>58</v>
      </c>
      <c r="F100" s="17" t="s">
        <v>34</v>
      </c>
      <c r="G100" s="15" t="s">
        <v>37</v>
      </c>
      <c r="H100" s="21" t="s">
        <v>54</v>
      </c>
      <c r="I100" s="21" t="s">
        <v>36</v>
      </c>
      <c r="J100" s="8">
        <v>3.5000000000000003E-2</v>
      </c>
      <c r="K100" s="8">
        <v>8.7999999999999995E-2</v>
      </c>
      <c r="L100" s="8">
        <f t="shared" si="14"/>
        <v>151.42857142857139</v>
      </c>
      <c r="M100" s="9" t="s">
        <v>31</v>
      </c>
      <c r="N100" s="9" t="s">
        <v>31</v>
      </c>
      <c r="O100" s="9" t="s">
        <v>31</v>
      </c>
      <c r="P100" s="11" t="s">
        <v>31</v>
      </c>
      <c r="Q100" s="11" t="s">
        <v>31</v>
      </c>
      <c r="R100" s="33" t="s">
        <v>31</v>
      </c>
      <c r="S100" s="37">
        <f t="shared" si="18"/>
        <v>-0.45593195564972433</v>
      </c>
      <c r="T100" s="37">
        <f t="shared" si="19"/>
        <v>3.180207825250513</v>
      </c>
      <c r="U100" s="42" t="e">
        <f t="shared" si="20"/>
        <v>#VALUE!</v>
      </c>
      <c r="V100" s="41" t="e">
        <f t="shared" si="21"/>
        <v>#VALUE!</v>
      </c>
      <c r="W100" s="43" t="e">
        <f t="shared" si="22"/>
        <v>#VALUE!</v>
      </c>
      <c r="X100" s="43" t="e">
        <f t="shared" si="23"/>
        <v>#VALUE!</v>
      </c>
    </row>
    <row r="101" spans="1:24" ht="14.25" customHeight="1">
      <c r="A101" s="49"/>
      <c r="B101" s="8">
        <v>10</v>
      </c>
      <c r="C101" s="8">
        <v>4</v>
      </c>
      <c r="D101" s="19" t="s">
        <v>25</v>
      </c>
      <c r="E101" s="19" t="s">
        <v>58</v>
      </c>
      <c r="F101" s="17" t="s">
        <v>34</v>
      </c>
      <c r="G101" s="15" t="s">
        <v>78</v>
      </c>
      <c r="H101" s="21" t="s">
        <v>54</v>
      </c>
      <c r="I101" s="21" t="s">
        <v>36</v>
      </c>
      <c r="J101" s="8">
        <v>3.5000000000000003E-2</v>
      </c>
      <c r="K101" s="8">
        <v>0.19</v>
      </c>
      <c r="L101" s="8">
        <f t="shared" si="14"/>
        <v>442.85714285714278</v>
      </c>
      <c r="M101" s="9" t="s">
        <v>31</v>
      </c>
      <c r="N101" s="9" t="s">
        <v>31</v>
      </c>
      <c r="O101" s="9" t="s">
        <v>31</v>
      </c>
      <c r="P101" s="11" t="s">
        <v>31</v>
      </c>
      <c r="Q101" s="11" t="s">
        <v>31</v>
      </c>
      <c r="R101" s="33" t="s">
        <v>31</v>
      </c>
      <c r="S101" s="37">
        <f t="shared" si="18"/>
        <v>-0.45593195564972433</v>
      </c>
      <c r="T101" s="37">
        <f t="shared" si="19"/>
        <v>3.6462636538200157</v>
      </c>
      <c r="U101" s="42" t="e">
        <f t="shared" si="20"/>
        <v>#VALUE!</v>
      </c>
      <c r="V101" s="41" t="e">
        <f t="shared" si="21"/>
        <v>#VALUE!</v>
      </c>
      <c r="W101" s="43" t="e">
        <f t="shared" si="22"/>
        <v>#VALUE!</v>
      </c>
      <c r="X101" s="43" t="e">
        <f t="shared" si="23"/>
        <v>#VALUE!</v>
      </c>
    </row>
    <row r="102" spans="1:24" ht="14.25" customHeight="1">
      <c r="A102" s="49"/>
      <c r="B102" s="8">
        <v>13</v>
      </c>
      <c r="C102" s="8">
        <v>5.4</v>
      </c>
      <c r="D102" s="19" t="s">
        <v>25</v>
      </c>
      <c r="E102" s="19" t="s">
        <v>58</v>
      </c>
      <c r="F102" s="17" t="s">
        <v>34</v>
      </c>
      <c r="G102" s="15" t="s">
        <v>78</v>
      </c>
      <c r="H102" s="21" t="s">
        <v>54</v>
      </c>
      <c r="I102" s="21" t="s">
        <v>36</v>
      </c>
      <c r="J102" s="8">
        <v>3.5000000000000003E-2</v>
      </c>
      <c r="K102" s="8">
        <v>0.40200000000000002</v>
      </c>
      <c r="L102" s="8">
        <f t="shared" si="14"/>
        <v>1048.5714285714284</v>
      </c>
      <c r="M102" s="9" t="s">
        <v>31</v>
      </c>
      <c r="N102" s="9" t="s">
        <v>31</v>
      </c>
      <c r="O102" s="9" t="s">
        <v>31</v>
      </c>
      <c r="P102" s="11" t="s">
        <v>31</v>
      </c>
      <c r="Q102" s="11" t="s">
        <v>31</v>
      </c>
      <c r="R102" s="33" t="s">
        <v>31</v>
      </c>
      <c r="S102" s="37">
        <f t="shared" si="18"/>
        <v>-0.45593195564972433</v>
      </c>
      <c r="T102" s="37">
        <f t="shared" si="19"/>
        <v>4.0205980199018141</v>
      </c>
      <c r="U102" s="42" t="e">
        <f t="shared" si="20"/>
        <v>#VALUE!</v>
      </c>
      <c r="V102" s="41" t="e">
        <f t="shared" si="21"/>
        <v>#VALUE!</v>
      </c>
      <c r="W102" s="43" t="e">
        <f t="shared" si="22"/>
        <v>#VALUE!</v>
      </c>
      <c r="X102" s="43" t="e">
        <f t="shared" si="23"/>
        <v>#VALUE!</v>
      </c>
    </row>
    <row r="103" spans="1:24" ht="14.25" customHeight="1">
      <c r="A103" s="50"/>
      <c r="B103" s="8">
        <v>17</v>
      </c>
      <c r="C103" s="8">
        <v>7.3</v>
      </c>
      <c r="D103" s="19" t="s">
        <v>25</v>
      </c>
      <c r="E103" s="19" t="s">
        <v>58</v>
      </c>
      <c r="F103" s="17" t="s">
        <v>34</v>
      </c>
      <c r="G103" s="15" t="s">
        <v>38</v>
      </c>
      <c r="H103" s="21" t="s">
        <v>54</v>
      </c>
      <c r="I103" s="21" t="s">
        <v>36</v>
      </c>
      <c r="J103" s="8">
        <v>3.5000000000000003E-2</v>
      </c>
      <c r="K103" s="8">
        <v>0.79800000000000004</v>
      </c>
      <c r="L103" s="8">
        <f t="shared" si="14"/>
        <v>2179.9999999999995</v>
      </c>
      <c r="M103" s="9" t="s">
        <v>31</v>
      </c>
      <c r="N103" s="9" t="s">
        <v>31</v>
      </c>
      <c r="O103" s="9" t="s">
        <v>31</v>
      </c>
      <c r="P103" s="11" t="s">
        <v>31</v>
      </c>
      <c r="Q103" s="11" t="s">
        <v>31</v>
      </c>
      <c r="R103" s="33" t="s">
        <v>31</v>
      </c>
      <c r="S103" s="37">
        <f t="shared" si="18"/>
        <v>-0.45593195564972433</v>
      </c>
      <c r="T103" s="37">
        <f t="shared" si="19"/>
        <v>4.3384564936046051</v>
      </c>
      <c r="U103" s="42" t="e">
        <f t="shared" si="20"/>
        <v>#VALUE!</v>
      </c>
      <c r="V103" s="41" t="e">
        <f t="shared" si="21"/>
        <v>#VALUE!</v>
      </c>
      <c r="W103" s="43" t="e">
        <f t="shared" si="22"/>
        <v>#VALUE!</v>
      </c>
      <c r="X103" s="43" t="e">
        <f t="shared" si="23"/>
        <v>#VALUE!</v>
      </c>
    </row>
    <row r="104" spans="1:24" ht="14.25" customHeight="1">
      <c r="A104" s="45" t="s">
        <v>79</v>
      </c>
      <c r="B104" s="8">
        <v>1</v>
      </c>
      <c r="C104" s="8">
        <f t="shared" ref="C104:C215" si="28">B104/2</f>
        <v>0.5</v>
      </c>
      <c r="D104" s="19" t="s">
        <v>25</v>
      </c>
      <c r="E104" s="19" t="s">
        <v>43</v>
      </c>
      <c r="F104" s="17" t="s">
        <v>34</v>
      </c>
      <c r="G104" s="15" t="s">
        <v>28</v>
      </c>
      <c r="H104" s="21" t="s">
        <v>54</v>
      </c>
      <c r="I104" s="21" t="s">
        <v>36</v>
      </c>
      <c r="J104" s="8">
        <v>2.5</v>
      </c>
      <c r="K104" s="8">
        <v>3.75</v>
      </c>
      <c r="L104" s="8">
        <f t="shared" si="14"/>
        <v>50</v>
      </c>
      <c r="M104" s="9" t="s">
        <v>31</v>
      </c>
      <c r="N104" s="9" t="s">
        <v>31</v>
      </c>
      <c r="O104" s="9" t="s">
        <v>31</v>
      </c>
      <c r="P104" s="11" t="s">
        <v>31</v>
      </c>
      <c r="Q104" s="11" t="s">
        <v>31</v>
      </c>
      <c r="R104" s="33" t="s">
        <v>31</v>
      </c>
      <c r="S104" s="37">
        <f t="shared" si="18"/>
        <v>1.3979400086720377</v>
      </c>
      <c r="T104" s="37">
        <f t="shared" si="19"/>
        <v>2.6989700043360187</v>
      </c>
      <c r="U104" s="42" t="e">
        <f t="shared" si="20"/>
        <v>#VALUE!</v>
      </c>
      <c r="V104" s="41" t="e">
        <f t="shared" si="21"/>
        <v>#VALUE!</v>
      </c>
      <c r="W104" s="43" t="e">
        <f t="shared" si="22"/>
        <v>#VALUE!</v>
      </c>
      <c r="X104" s="43" t="e">
        <f t="shared" si="23"/>
        <v>#VALUE!</v>
      </c>
    </row>
    <row r="105" spans="1:24" ht="14.25" customHeight="1">
      <c r="A105" s="49"/>
      <c r="B105" s="8">
        <v>2</v>
      </c>
      <c r="C105" s="8">
        <f t="shared" si="28"/>
        <v>1</v>
      </c>
      <c r="D105" s="19" t="s">
        <v>25</v>
      </c>
      <c r="E105" s="19" t="s">
        <v>43</v>
      </c>
      <c r="F105" s="17" t="s">
        <v>34</v>
      </c>
      <c r="G105" s="15" t="s">
        <v>28</v>
      </c>
      <c r="H105" s="21" t="s">
        <v>54</v>
      </c>
      <c r="I105" s="21" t="s">
        <v>36</v>
      </c>
      <c r="J105" s="8">
        <v>2.5</v>
      </c>
      <c r="K105" s="8">
        <v>4.9000000000000004</v>
      </c>
      <c r="L105" s="8">
        <f t="shared" si="14"/>
        <v>96.000000000000014</v>
      </c>
      <c r="M105" s="9" t="s">
        <v>31</v>
      </c>
      <c r="N105" s="9" t="s">
        <v>31</v>
      </c>
      <c r="O105" s="9" t="s">
        <v>31</v>
      </c>
      <c r="P105" s="11" t="s">
        <v>31</v>
      </c>
      <c r="Q105" s="11" t="s">
        <v>31</v>
      </c>
      <c r="R105" s="33" t="s">
        <v>31</v>
      </c>
      <c r="S105" s="37">
        <f t="shared" si="18"/>
        <v>1.3979400086720377</v>
      </c>
      <c r="T105" s="37">
        <f t="shared" si="19"/>
        <v>2.9822712330395684</v>
      </c>
      <c r="U105" s="42" t="e">
        <f t="shared" si="20"/>
        <v>#VALUE!</v>
      </c>
      <c r="V105" s="41" t="e">
        <f t="shared" si="21"/>
        <v>#VALUE!</v>
      </c>
      <c r="W105" s="43" t="e">
        <f t="shared" si="22"/>
        <v>#VALUE!</v>
      </c>
      <c r="X105" s="43" t="e">
        <f t="shared" si="23"/>
        <v>#VALUE!</v>
      </c>
    </row>
    <row r="106" spans="1:24" ht="14.25" customHeight="1">
      <c r="A106" s="49"/>
      <c r="B106" s="8">
        <v>3</v>
      </c>
      <c r="C106" s="8">
        <f t="shared" si="28"/>
        <v>1.5</v>
      </c>
      <c r="D106" s="19" t="s">
        <v>25</v>
      </c>
      <c r="E106" s="19" t="s">
        <v>43</v>
      </c>
      <c r="F106" s="17" t="s">
        <v>34</v>
      </c>
      <c r="G106" s="15" t="s">
        <v>37</v>
      </c>
      <c r="H106" s="21" t="s">
        <v>54</v>
      </c>
      <c r="I106" s="21" t="s">
        <v>36</v>
      </c>
      <c r="J106" s="8">
        <v>2.5</v>
      </c>
      <c r="K106" s="8">
        <v>6</v>
      </c>
      <c r="L106" s="8">
        <f t="shared" si="14"/>
        <v>140</v>
      </c>
      <c r="M106" s="9" t="s">
        <v>31</v>
      </c>
      <c r="N106" s="9" t="s">
        <v>31</v>
      </c>
      <c r="O106" s="9" t="s">
        <v>31</v>
      </c>
      <c r="P106" s="11" t="s">
        <v>31</v>
      </c>
      <c r="Q106" s="11" t="s">
        <v>31</v>
      </c>
      <c r="R106" s="33" t="s">
        <v>31</v>
      </c>
      <c r="S106" s="37">
        <f t="shared" si="18"/>
        <v>1.3979400086720377</v>
      </c>
      <c r="T106" s="37">
        <f t="shared" si="19"/>
        <v>3.1461280356782382</v>
      </c>
      <c r="U106" s="42" t="e">
        <f t="shared" si="20"/>
        <v>#VALUE!</v>
      </c>
      <c r="V106" s="41" t="e">
        <f t="shared" si="21"/>
        <v>#VALUE!</v>
      </c>
      <c r="W106" s="43" t="e">
        <f t="shared" si="22"/>
        <v>#VALUE!</v>
      </c>
      <c r="X106" s="43" t="e">
        <f t="shared" si="23"/>
        <v>#VALUE!</v>
      </c>
    </row>
    <row r="107" spans="1:24" ht="14.25" customHeight="1">
      <c r="A107" s="49"/>
      <c r="B107" s="8">
        <v>4</v>
      </c>
      <c r="C107" s="8">
        <f t="shared" si="28"/>
        <v>2</v>
      </c>
      <c r="D107" s="19" t="s">
        <v>25</v>
      </c>
      <c r="E107" s="19" t="s">
        <v>43</v>
      </c>
      <c r="F107" s="17" t="s">
        <v>34</v>
      </c>
      <c r="G107" s="15" t="s">
        <v>37</v>
      </c>
      <c r="H107" s="21" t="s">
        <v>54</v>
      </c>
      <c r="I107" s="21" t="s">
        <v>36</v>
      </c>
      <c r="J107" s="8">
        <v>2.5</v>
      </c>
      <c r="K107" s="8">
        <v>7.5</v>
      </c>
      <c r="L107" s="8">
        <f t="shared" si="14"/>
        <v>200</v>
      </c>
      <c r="M107" s="9" t="s">
        <v>31</v>
      </c>
      <c r="N107" s="9" t="s">
        <v>31</v>
      </c>
      <c r="O107" s="9" t="s">
        <v>31</v>
      </c>
      <c r="P107" s="11" t="s">
        <v>31</v>
      </c>
      <c r="Q107" s="11" t="s">
        <v>31</v>
      </c>
      <c r="R107" s="33" t="s">
        <v>31</v>
      </c>
      <c r="S107" s="37">
        <f t="shared" si="18"/>
        <v>1.3979400086720377</v>
      </c>
      <c r="T107" s="37">
        <f t="shared" si="19"/>
        <v>3.3010299956639813</v>
      </c>
      <c r="U107" s="42" t="e">
        <f t="shared" si="20"/>
        <v>#VALUE!</v>
      </c>
      <c r="V107" s="41" t="e">
        <f t="shared" si="21"/>
        <v>#VALUE!</v>
      </c>
      <c r="W107" s="43" t="e">
        <f t="shared" si="22"/>
        <v>#VALUE!</v>
      </c>
      <c r="X107" s="43" t="e">
        <f t="shared" si="23"/>
        <v>#VALUE!</v>
      </c>
    </row>
    <row r="108" spans="1:24" ht="14.25" customHeight="1">
      <c r="A108" s="49"/>
      <c r="B108" s="8">
        <v>5</v>
      </c>
      <c r="C108" s="8">
        <f t="shared" si="28"/>
        <v>2.5</v>
      </c>
      <c r="D108" s="19" t="s">
        <v>25</v>
      </c>
      <c r="E108" s="19" t="s">
        <v>43</v>
      </c>
      <c r="F108" s="17" t="s">
        <v>34</v>
      </c>
      <c r="G108" s="15" t="s">
        <v>37</v>
      </c>
      <c r="H108" s="21" t="s">
        <v>54</v>
      </c>
      <c r="I108" s="21" t="s">
        <v>36</v>
      </c>
      <c r="J108" s="8">
        <v>2.5</v>
      </c>
      <c r="K108" s="8">
        <v>9.5</v>
      </c>
      <c r="L108" s="8">
        <f t="shared" si="14"/>
        <v>280</v>
      </c>
      <c r="M108" s="9" t="s">
        <v>31</v>
      </c>
      <c r="N108" s="9" t="s">
        <v>31</v>
      </c>
      <c r="O108" s="9" t="s">
        <v>31</v>
      </c>
      <c r="P108" s="11" t="s">
        <v>31</v>
      </c>
      <c r="Q108" s="11" t="s">
        <v>31</v>
      </c>
      <c r="R108" s="33" t="s">
        <v>31</v>
      </c>
      <c r="S108" s="37">
        <f t="shared" si="18"/>
        <v>1.3979400086720377</v>
      </c>
      <c r="T108" s="37">
        <f t="shared" si="19"/>
        <v>3.4471580313422194</v>
      </c>
      <c r="U108" s="42" t="e">
        <f t="shared" si="20"/>
        <v>#VALUE!</v>
      </c>
      <c r="V108" s="41" t="e">
        <f t="shared" si="21"/>
        <v>#VALUE!</v>
      </c>
      <c r="W108" s="43" t="e">
        <f t="shared" si="22"/>
        <v>#VALUE!</v>
      </c>
      <c r="X108" s="43" t="e">
        <f t="shared" si="23"/>
        <v>#VALUE!</v>
      </c>
    </row>
    <row r="109" spans="1:24" ht="14.25" customHeight="1">
      <c r="A109" s="50"/>
      <c r="B109" s="8">
        <v>6</v>
      </c>
      <c r="C109" s="8">
        <f t="shared" si="28"/>
        <v>3</v>
      </c>
      <c r="D109" s="19" t="s">
        <v>25</v>
      </c>
      <c r="E109" s="19" t="s">
        <v>43</v>
      </c>
      <c r="F109" s="17" t="s">
        <v>34</v>
      </c>
      <c r="G109" s="15" t="s">
        <v>37</v>
      </c>
      <c r="H109" s="21" t="s">
        <v>54</v>
      </c>
      <c r="I109" s="21" t="s">
        <v>36</v>
      </c>
      <c r="J109" s="8">
        <v>2.5</v>
      </c>
      <c r="K109" s="8">
        <v>12</v>
      </c>
      <c r="L109" s="8">
        <f t="shared" si="14"/>
        <v>380</v>
      </c>
      <c r="M109" s="9" t="s">
        <v>31</v>
      </c>
      <c r="N109" s="9" t="s">
        <v>31</v>
      </c>
      <c r="O109" s="9" t="s">
        <v>31</v>
      </c>
      <c r="P109" s="11" t="s">
        <v>31</v>
      </c>
      <c r="Q109" s="11" t="s">
        <v>31</v>
      </c>
      <c r="R109" s="33" t="s">
        <v>31</v>
      </c>
      <c r="S109" s="37">
        <f t="shared" si="18"/>
        <v>1.3979400086720377</v>
      </c>
      <c r="T109" s="37">
        <f t="shared" si="19"/>
        <v>3.5797835966168101</v>
      </c>
      <c r="U109" s="42" t="e">
        <f t="shared" si="20"/>
        <v>#VALUE!</v>
      </c>
      <c r="V109" s="41" t="e">
        <f t="shared" si="21"/>
        <v>#VALUE!</v>
      </c>
      <c r="W109" s="43" t="e">
        <f t="shared" si="22"/>
        <v>#VALUE!</v>
      </c>
      <c r="X109" s="43" t="e">
        <f t="shared" si="23"/>
        <v>#VALUE!</v>
      </c>
    </row>
    <row r="110" spans="1:24" ht="14.25" customHeight="1">
      <c r="A110" s="45" t="s">
        <v>41</v>
      </c>
      <c r="B110" s="8">
        <v>1</v>
      </c>
      <c r="C110" s="24">
        <f t="shared" si="28"/>
        <v>0.5</v>
      </c>
      <c r="D110" s="19" t="s">
        <v>25</v>
      </c>
      <c r="E110" s="19" t="s">
        <v>80</v>
      </c>
      <c r="F110" s="17" t="s">
        <v>34</v>
      </c>
      <c r="G110" s="15" t="s">
        <v>28</v>
      </c>
      <c r="H110" s="21" t="s">
        <v>54</v>
      </c>
      <c r="I110" s="21" t="s">
        <v>36</v>
      </c>
      <c r="J110" s="8">
        <v>0.93</v>
      </c>
      <c r="K110" s="8">
        <v>1.1000000000000001</v>
      </c>
      <c r="L110" s="8">
        <f t="shared" si="14"/>
        <v>18.27956989247312</v>
      </c>
      <c r="M110" s="9">
        <v>58</v>
      </c>
      <c r="N110" s="9">
        <v>68</v>
      </c>
      <c r="O110" s="10">
        <f>(N110-M110)/M110*100</f>
        <v>17.241379310344829</v>
      </c>
      <c r="P110" s="11">
        <v>0.68</v>
      </c>
      <c r="Q110" s="11">
        <v>0.65</v>
      </c>
      <c r="R110" s="33">
        <f>((Q83-P83)/P83)*100</f>
        <v>-33.333333333333329</v>
      </c>
      <c r="S110" s="37">
        <f t="shared" si="18"/>
        <v>0.96848294855393513</v>
      </c>
      <c r="T110" s="37">
        <f t="shared" si="19"/>
        <v>2.2619659728243389</v>
      </c>
      <c r="U110" s="42">
        <f t="shared" si="20"/>
        <v>2.7634279935629373</v>
      </c>
      <c r="V110" s="41">
        <f t="shared" si="21"/>
        <v>2.2365720064370627</v>
      </c>
      <c r="W110" s="43">
        <f t="shared" si="22"/>
        <v>0.83250891270623639</v>
      </c>
      <c r="X110" s="43" t="e">
        <f t="shared" si="23"/>
        <v>#NUM!</v>
      </c>
    </row>
    <row r="111" spans="1:24" ht="14.25" customHeight="1">
      <c r="A111" s="50"/>
      <c r="B111" s="8">
        <v>2</v>
      </c>
      <c r="C111" s="24">
        <f t="shared" si="28"/>
        <v>1</v>
      </c>
      <c r="D111" s="19" t="s">
        <v>61</v>
      </c>
      <c r="E111" s="19" t="s">
        <v>80</v>
      </c>
      <c r="F111" s="17" t="s">
        <v>34</v>
      </c>
      <c r="G111" s="15" t="s">
        <v>37</v>
      </c>
      <c r="H111" s="21" t="s">
        <v>54</v>
      </c>
      <c r="I111" s="21" t="s">
        <v>36</v>
      </c>
      <c r="J111" s="8">
        <v>0.93</v>
      </c>
      <c r="K111" s="8">
        <v>1.5</v>
      </c>
      <c r="L111" s="8">
        <f t="shared" si="14"/>
        <v>61.290322580645153</v>
      </c>
      <c r="M111" s="9">
        <v>58</v>
      </c>
      <c r="N111" s="9">
        <v>58</v>
      </c>
      <c r="O111" s="10">
        <f>(N111-M111)/M111*100</f>
        <v>0</v>
      </c>
      <c r="P111" s="11">
        <v>0.68</v>
      </c>
      <c r="Q111" s="11">
        <v>0.38</v>
      </c>
      <c r="R111" s="33">
        <f>((Q83-P83)/P83)*100</f>
        <v>-33.333333333333329</v>
      </c>
      <c r="S111" s="37">
        <f t="shared" si="18"/>
        <v>0.96848294855393513</v>
      </c>
      <c r="T111" s="37">
        <f t="shared" si="19"/>
        <v>2.7873919071185562</v>
      </c>
      <c r="U111" s="42">
        <f t="shared" si="20"/>
        <v>2.7634279935629373</v>
      </c>
      <c r="V111" s="41" t="e">
        <f t="shared" si="21"/>
        <v>#NUM!</v>
      </c>
      <c r="W111" s="43">
        <f t="shared" si="22"/>
        <v>0.83250891270623639</v>
      </c>
      <c r="X111" s="43" t="e">
        <f t="shared" si="23"/>
        <v>#NUM!</v>
      </c>
    </row>
    <row r="112" spans="1:24" ht="14.25" customHeight="1">
      <c r="A112" s="45" t="s">
        <v>81</v>
      </c>
      <c r="B112" s="8">
        <v>3.2</v>
      </c>
      <c r="C112" s="8">
        <f t="shared" si="28"/>
        <v>1.6</v>
      </c>
      <c r="D112" s="18" t="s">
        <v>25</v>
      </c>
      <c r="E112" s="19" t="s">
        <v>58</v>
      </c>
      <c r="F112" s="17" t="s">
        <v>34</v>
      </c>
      <c r="G112" s="15" t="s">
        <v>82</v>
      </c>
      <c r="H112" s="21" t="s">
        <v>29</v>
      </c>
      <c r="I112" s="21" t="s">
        <v>36</v>
      </c>
      <c r="J112" s="8">
        <v>2.82</v>
      </c>
      <c r="K112" s="8">
        <v>3.65</v>
      </c>
      <c r="L112" s="8">
        <f t="shared" si="14"/>
        <v>29.432624113475182</v>
      </c>
      <c r="M112" s="9" t="s">
        <v>31</v>
      </c>
      <c r="N112" s="9" t="s">
        <v>31</v>
      </c>
      <c r="O112" s="10" t="s">
        <v>31</v>
      </c>
      <c r="P112" s="11" t="s">
        <v>31</v>
      </c>
      <c r="Q112" s="11" t="s">
        <v>31</v>
      </c>
      <c r="R112" s="33" t="s">
        <v>31</v>
      </c>
      <c r="S112" s="37">
        <f t="shared" si="18"/>
        <v>1.4502491083193612</v>
      </c>
      <c r="T112" s="37">
        <f t="shared" si="19"/>
        <v>2.4688289840567128</v>
      </c>
      <c r="U112" s="42" t="e">
        <f t="shared" si="20"/>
        <v>#VALUE!</v>
      </c>
      <c r="V112" s="41" t="e">
        <f t="shared" si="21"/>
        <v>#VALUE!</v>
      </c>
      <c r="W112" s="43" t="e">
        <f t="shared" si="22"/>
        <v>#VALUE!</v>
      </c>
      <c r="X112" s="43" t="e">
        <f t="shared" si="23"/>
        <v>#VALUE!</v>
      </c>
    </row>
    <row r="113" spans="1:24" ht="14.25" customHeight="1">
      <c r="A113" s="57"/>
      <c r="B113" s="8">
        <v>6.4</v>
      </c>
      <c r="C113" s="8">
        <f t="shared" si="28"/>
        <v>3.2</v>
      </c>
      <c r="D113" s="16" t="s">
        <v>25</v>
      </c>
      <c r="E113" s="19" t="s">
        <v>58</v>
      </c>
      <c r="F113" s="17" t="s">
        <v>34</v>
      </c>
      <c r="G113" s="15" t="s">
        <v>37</v>
      </c>
      <c r="H113" s="21" t="s">
        <v>29</v>
      </c>
      <c r="I113" s="21" t="s">
        <v>36</v>
      </c>
      <c r="J113" s="8">
        <v>2.82</v>
      </c>
      <c r="K113" s="8">
        <v>4.92</v>
      </c>
      <c r="L113" s="8">
        <f t="shared" si="14"/>
        <v>74.468085106382986</v>
      </c>
      <c r="M113" s="9" t="s">
        <v>31</v>
      </c>
      <c r="N113" s="9" t="s">
        <v>31</v>
      </c>
      <c r="O113" s="10" t="s">
        <v>31</v>
      </c>
      <c r="P113" s="11" t="s">
        <v>31</v>
      </c>
      <c r="Q113" s="11" t="s">
        <v>31</v>
      </c>
      <c r="R113" s="33" t="s">
        <v>31</v>
      </c>
      <c r="S113" s="37">
        <f t="shared" si="18"/>
        <v>1.4502491083193612</v>
      </c>
      <c r="T113" s="37">
        <f t="shared" si="19"/>
        <v>2.8719701864145581</v>
      </c>
      <c r="U113" s="42" t="e">
        <f t="shared" si="20"/>
        <v>#VALUE!</v>
      </c>
      <c r="V113" s="41" t="e">
        <f t="shared" si="21"/>
        <v>#VALUE!</v>
      </c>
      <c r="W113" s="43" t="e">
        <f t="shared" si="22"/>
        <v>#VALUE!</v>
      </c>
      <c r="X113" s="43" t="e">
        <f t="shared" si="23"/>
        <v>#VALUE!</v>
      </c>
    </row>
    <row r="114" spans="1:24" ht="14.25" customHeight="1">
      <c r="A114" s="57"/>
      <c r="B114" s="8">
        <v>3.1</v>
      </c>
      <c r="C114" s="8">
        <f t="shared" si="28"/>
        <v>1.55</v>
      </c>
      <c r="D114" s="16" t="s">
        <v>25</v>
      </c>
      <c r="E114" s="19" t="s">
        <v>58</v>
      </c>
      <c r="F114" s="17" t="s">
        <v>34</v>
      </c>
      <c r="G114" s="15" t="s">
        <v>83</v>
      </c>
      <c r="H114" s="21" t="s">
        <v>29</v>
      </c>
      <c r="I114" s="21" t="s">
        <v>36</v>
      </c>
      <c r="J114" s="8">
        <v>2.71</v>
      </c>
      <c r="K114" s="8">
        <v>3.66</v>
      </c>
      <c r="L114" s="8">
        <f t="shared" si="14"/>
        <v>35.055350553505541</v>
      </c>
      <c r="M114" s="9" t="s">
        <v>31</v>
      </c>
      <c r="N114" s="9" t="s">
        <v>31</v>
      </c>
      <c r="O114" s="10" t="s">
        <v>31</v>
      </c>
      <c r="P114" s="11" t="s">
        <v>31</v>
      </c>
      <c r="Q114" s="11" t="s">
        <v>31</v>
      </c>
      <c r="R114" s="33" t="s">
        <v>31</v>
      </c>
      <c r="S114" s="37">
        <f t="shared" si="18"/>
        <v>1.4329692908744058</v>
      </c>
      <c r="T114" s="37">
        <f t="shared" si="19"/>
        <v>2.5447543144144422</v>
      </c>
      <c r="U114" s="42" t="e">
        <f t="shared" si="20"/>
        <v>#VALUE!</v>
      </c>
      <c r="V114" s="41" t="e">
        <f t="shared" si="21"/>
        <v>#VALUE!</v>
      </c>
      <c r="W114" s="43" t="e">
        <f t="shared" si="22"/>
        <v>#VALUE!</v>
      </c>
      <c r="X114" s="43" t="e">
        <f t="shared" si="23"/>
        <v>#VALUE!</v>
      </c>
    </row>
    <row r="115" spans="1:24" ht="14.25" customHeight="1">
      <c r="A115" s="57"/>
      <c r="B115" s="8">
        <v>7.1</v>
      </c>
      <c r="C115" s="8">
        <f t="shared" si="28"/>
        <v>3.55</v>
      </c>
      <c r="D115" s="16" t="s">
        <v>25</v>
      </c>
      <c r="E115" s="19" t="s">
        <v>58</v>
      </c>
      <c r="F115" s="17" t="s">
        <v>34</v>
      </c>
      <c r="G115" s="15" t="s">
        <v>78</v>
      </c>
      <c r="H115" s="21" t="s">
        <v>29</v>
      </c>
      <c r="I115" s="21" t="s">
        <v>36</v>
      </c>
      <c r="J115" s="8">
        <v>2.71</v>
      </c>
      <c r="K115" s="8">
        <v>5.61</v>
      </c>
      <c r="L115" s="8">
        <f t="shared" si="14"/>
        <v>107.01107011070113</v>
      </c>
      <c r="M115" s="9" t="s">
        <v>31</v>
      </c>
      <c r="N115" s="9" t="s">
        <v>31</v>
      </c>
      <c r="O115" s="10" t="s">
        <v>31</v>
      </c>
      <c r="P115" s="11" t="s">
        <v>31</v>
      </c>
      <c r="Q115" s="11" t="s">
        <v>31</v>
      </c>
      <c r="R115" s="33" t="s">
        <v>31</v>
      </c>
      <c r="S115" s="37">
        <f t="shared" si="18"/>
        <v>1.4329692908744058</v>
      </c>
      <c r="T115" s="37">
        <f t="shared" si="19"/>
        <v>3.0294287070245502</v>
      </c>
      <c r="U115" s="42" t="e">
        <f t="shared" si="20"/>
        <v>#VALUE!</v>
      </c>
      <c r="V115" s="41" t="e">
        <f t="shared" si="21"/>
        <v>#VALUE!</v>
      </c>
      <c r="W115" s="43" t="e">
        <f t="shared" si="22"/>
        <v>#VALUE!</v>
      </c>
      <c r="X115" s="43" t="e">
        <f t="shared" si="23"/>
        <v>#VALUE!</v>
      </c>
    </row>
    <row r="116" spans="1:24" ht="14.25" customHeight="1">
      <c r="A116" s="57"/>
      <c r="B116" s="8">
        <v>3.2</v>
      </c>
      <c r="C116" s="8">
        <f t="shared" si="28"/>
        <v>1.6</v>
      </c>
      <c r="D116" s="16" t="s">
        <v>25</v>
      </c>
      <c r="E116" s="19" t="s">
        <v>58</v>
      </c>
      <c r="F116" s="17" t="s">
        <v>34</v>
      </c>
      <c r="G116" s="15" t="s">
        <v>37</v>
      </c>
      <c r="H116" s="21" t="s">
        <v>29</v>
      </c>
      <c r="I116" s="21" t="s">
        <v>36</v>
      </c>
      <c r="J116" s="8">
        <v>2.75</v>
      </c>
      <c r="K116" s="8">
        <v>3.92</v>
      </c>
      <c r="L116" s="8">
        <f t="shared" si="14"/>
        <v>42.54545454545454</v>
      </c>
      <c r="M116" s="9" t="s">
        <v>31</v>
      </c>
      <c r="N116" s="9" t="s">
        <v>31</v>
      </c>
      <c r="O116" s="10" t="s">
        <v>31</v>
      </c>
      <c r="P116" s="11" t="s">
        <v>31</v>
      </c>
      <c r="Q116" s="11" t="s">
        <v>31</v>
      </c>
      <c r="R116" s="33" t="s">
        <v>31</v>
      </c>
      <c r="S116" s="37">
        <f t="shared" si="18"/>
        <v>1.4393326938302626</v>
      </c>
      <c r="T116" s="37">
        <f t="shared" si="19"/>
        <v>2.6288531679158988</v>
      </c>
      <c r="U116" s="42" t="e">
        <f t="shared" si="20"/>
        <v>#VALUE!</v>
      </c>
      <c r="V116" s="41" t="e">
        <f t="shared" si="21"/>
        <v>#VALUE!</v>
      </c>
      <c r="W116" s="43" t="e">
        <f t="shared" si="22"/>
        <v>#VALUE!</v>
      </c>
      <c r="X116" s="43" t="e">
        <f t="shared" si="23"/>
        <v>#VALUE!</v>
      </c>
    </row>
    <row r="117" spans="1:24" ht="14.25" customHeight="1">
      <c r="A117" s="58"/>
      <c r="B117" s="8">
        <v>7.2</v>
      </c>
      <c r="C117" s="8">
        <f t="shared" si="28"/>
        <v>3.6</v>
      </c>
      <c r="D117" s="16" t="s">
        <v>25</v>
      </c>
      <c r="E117" s="19" t="s">
        <v>58</v>
      </c>
      <c r="F117" s="17" t="s">
        <v>34</v>
      </c>
      <c r="G117" s="15" t="s">
        <v>78</v>
      </c>
      <c r="H117" s="21" t="s">
        <v>29</v>
      </c>
      <c r="I117" s="21" t="s">
        <v>36</v>
      </c>
      <c r="J117" s="8">
        <v>2.75</v>
      </c>
      <c r="K117" s="8">
        <v>5.7</v>
      </c>
      <c r="L117" s="8">
        <f t="shared" si="14"/>
        <v>107.27272727272728</v>
      </c>
      <c r="M117" s="9" t="s">
        <v>31</v>
      </c>
      <c r="N117" s="9" t="s">
        <v>31</v>
      </c>
      <c r="O117" s="10" t="s">
        <v>31</v>
      </c>
      <c r="P117" s="11" t="s">
        <v>31</v>
      </c>
      <c r="Q117" s="11" t="s">
        <v>31</v>
      </c>
      <c r="R117" s="33" t="s">
        <v>31</v>
      </c>
      <c r="S117" s="37">
        <f t="shared" si="18"/>
        <v>1.4393326938302626</v>
      </c>
      <c r="T117" s="37">
        <f t="shared" si="19"/>
        <v>3.0304893221479006</v>
      </c>
      <c r="U117" s="42" t="e">
        <f t="shared" si="20"/>
        <v>#VALUE!</v>
      </c>
      <c r="V117" s="41" t="e">
        <f t="shared" si="21"/>
        <v>#VALUE!</v>
      </c>
      <c r="W117" s="43" t="e">
        <f t="shared" si="22"/>
        <v>#VALUE!</v>
      </c>
      <c r="X117" s="43" t="e">
        <f t="shared" si="23"/>
        <v>#VALUE!</v>
      </c>
    </row>
    <row r="118" spans="1:24" ht="14.25" customHeight="1">
      <c r="A118" s="45" t="s">
        <v>84</v>
      </c>
      <c r="B118" s="8">
        <v>1.7</v>
      </c>
      <c r="C118" s="8">
        <f t="shared" si="28"/>
        <v>0.85</v>
      </c>
      <c r="D118" s="16" t="s">
        <v>25</v>
      </c>
      <c r="E118" s="19" t="s">
        <v>85</v>
      </c>
      <c r="F118" s="17" t="s">
        <v>34</v>
      </c>
      <c r="G118" s="15" t="s">
        <v>28</v>
      </c>
      <c r="H118" s="21" t="s">
        <v>29</v>
      </c>
      <c r="I118" s="21" t="s">
        <v>36</v>
      </c>
      <c r="J118" s="8">
        <v>2.8159999999999998</v>
      </c>
      <c r="K118" s="8">
        <v>3.4969999999999999</v>
      </c>
      <c r="L118" s="8">
        <f t="shared" si="14"/>
        <v>24.18323863636364</v>
      </c>
      <c r="M118" s="9" t="s">
        <v>31</v>
      </c>
      <c r="N118" s="9" t="s">
        <v>31</v>
      </c>
      <c r="O118" s="10" t="s">
        <v>31</v>
      </c>
      <c r="P118" s="11" t="s">
        <v>31</v>
      </c>
      <c r="Q118" s="11" t="s">
        <v>31</v>
      </c>
      <c r="R118" s="33" t="s">
        <v>31</v>
      </c>
      <c r="S118" s="37">
        <f t="shared" si="18"/>
        <v>1.4496326504700745</v>
      </c>
      <c r="T118" s="37">
        <f t="shared" si="19"/>
        <v>2.3835144614427106</v>
      </c>
      <c r="U118" s="42" t="e">
        <f t="shared" si="20"/>
        <v>#VALUE!</v>
      </c>
      <c r="V118" s="41" t="e">
        <f t="shared" si="21"/>
        <v>#VALUE!</v>
      </c>
      <c r="W118" s="43" t="e">
        <f t="shared" si="22"/>
        <v>#VALUE!</v>
      </c>
      <c r="X118" s="43" t="e">
        <f t="shared" si="23"/>
        <v>#VALUE!</v>
      </c>
    </row>
    <row r="119" spans="1:24" ht="14.25" customHeight="1">
      <c r="A119" s="57"/>
      <c r="B119" s="8">
        <v>2.7</v>
      </c>
      <c r="C119" s="8">
        <f t="shared" si="28"/>
        <v>1.35</v>
      </c>
      <c r="D119" s="16" t="s">
        <v>25</v>
      </c>
      <c r="E119" s="19" t="s">
        <v>85</v>
      </c>
      <c r="F119" s="17" t="s">
        <v>34</v>
      </c>
      <c r="G119" s="15" t="s">
        <v>37</v>
      </c>
      <c r="H119" s="21" t="s">
        <v>29</v>
      </c>
      <c r="I119" s="21" t="s">
        <v>36</v>
      </c>
      <c r="J119" s="8">
        <v>2.8159999999999998</v>
      </c>
      <c r="K119" s="8">
        <v>4.048</v>
      </c>
      <c r="L119" s="8">
        <f t="shared" si="14"/>
        <v>43.750000000000014</v>
      </c>
      <c r="M119" s="9" t="s">
        <v>31</v>
      </c>
      <c r="N119" s="9" t="s">
        <v>31</v>
      </c>
      <c r="O119" s="10" t="s">
        <v>31</v>
      </c>
      <c r="P119" s="11" t="s">
        <v>31</v>
      </c>
      <c r="Q119" s="11" t="s">
        <v>31</v>
      </c>
      <c r="R119" s="33" t="s">
        <v>31</v>
      </c>
      <c r="S119" s="37">
        <f t="shared" si="18"/>
        <v>1.4496326504700745</v>
      </c>
      <c r="T119" s="37">
        <f t="shared" si="19"/>
        <v>2.6409780573583324</v>
      </c>
      <c r="U119" s="42" t="e">
        <f t="shared" si="20"/>
        <v>#VALUE!</v>
      </c>
      <c r="V119" s="41" t="e">
        <f t="shared" si="21"/>
        <v>#VALUE!</v>
      </c>
      <c r="W119" s="43" t="e">
        <f t="shared" si="22"/>
        <v>#VALUE!</v>
      </c>
      <c r="X119" s="43" t="e">
        <f t="shared" si="23"/>
        <v>#VALUE!</v>
      </c>
    </row>
    <row r="120" spans="1:24" ht="14.25" customHeight="1">
      <c r="A120" s="57"/>
      <c r="B120" s="8">
        <v>2.4</v>
      </c>
      <c r="C120" s="8">
        <f t="shared" si="28"/>
        <v>1.2</v>
      </c>
      <c r="D120" s="16" t="s">
        <v>25</v>
      </c>
      <c r="E120" s="19" t="s">
        <v>85</v>
      </c>
      <c r="F120" s="17" t="s">
        <v>34</v>
      </c>
      <c r="G120" s="15" t="s">
        <v>37</v>
      </c>
      <c r="H120" s="21" t="s">
        <v>29</v>
      </c>
      <c r="I120" s="21" t="s">
        <v>36</v>
      </c>
      <c r="J120" s="8">
        <v>2.8159999999999998</v>
      </c>
      <c r="K120" s="8">
        <v>4.42</v>
      </c>
      <c r="L120" s="8">
        <f t="shared" si="14"/>
        <v>56.96022727272728</v>
      </c>
      <c r="M120" s="9" t="s">
        <v>31</v>
      </c>
      <c r="N120" s="9" t="s">
        <v>31</v>
      </c>
      <c r="O120" s="10" t="s">
        <v>31</v>
      </c>
      <c r="P120" s="11" t="s">
        <v>31</v>
      </c>
      <c r="Q120" s="11" t="s">
        <v>31</v>
      </c>
      <c r="R120" s="33" t="s">
        <v>31</v>
      </c>
      <c r="S120" s="37">
        <f t="shared" si="18"/>
        <v>1.4496326504700745</v>
      </c>
      <c r="T120" s="37">
        <f t="shared" si="19"/>
        <v>2.7555717134780702</v>
      </c>
      <c r="U120" s="42" t="e">
        <f t="shared" si="20"/>
        <v>#VALUE!</v>
      </c>
      <c r="V120" s="41" t="e">
        <f t="shared" si="21"/>
        <v>#VALUE!</v>
      </c>
      <c r="W120" s="43" t="e">
        <f t="shared" si="22"/>
        <v>#VALUE!</v>
      </c>
      <c r="X120" s="43" t="e">
        <f t="shared" si="23"/>
        <v>#VALUE!</v>
      </c>
    </row>
    <row r="121" spans="1:24" ht="14.25" customHeight="1">
      <c r="A121" s="57"/>
      <c r="B121" s="8">
        <v>3.4</v>
      </c>
      <c r="C121" s="8">
        <f t="shared" si="28"/>
        <v>1.7</v>
      </c>
      <c r="D121" s="16" t="s">
        <v>25</v>
      </c>
      <c r="E121" s="19" t="s">
        <v>85</v>
      </c>
      <c r="F121" s="17" t="s">
        <v>34</v>
      </c>
      <c r="G121" s="15" t="s">
        <v>37</v>
      </c>
      <c r="H121" s="21" t="s">
        <v>29</v>
      </c>
      <c r="I121" s="21" t="s">
        <v>36</v>
      </c>
      <c r="J121" s="8">
        <v>2.8159999999999998</v>
      </c>
      <c r="K121" s="8">
        <v>5.1210000000000004</v>
      </c>
      <c r="L121" s="8">
        <f t="shared" si="14"/>
        <v>81.853693181818215</v>
      </c>
      <c r="M121" s="9" t="s">
        <v>31</v>
      </c>
      <c r="N121" s="9" t="s">
        <v>31</v>
      </c>
      <c r="O121" s="10" t="s">
        <v>31</v>
      </c>
      <c r="P121" s="11" t="s">
        <v>31</v>
      </c>
      <c r="Q121" s="11" t="s">
        <v>31</v>
      </c>
      <c r="R121" s="33" t="s">
        <v>31</v>
      </c>
      <c r="S121" s="37">
        <f t="shared" si="18"/>
        <v>1.4496326504700745</v>
      </c>
      <c r="T121" s="37">
        <f t="shared" si="19"/>
        <v>2.9130382792555927</v>
      </c>
      <c r="U121" s="42" t="e">
        <f t="shared" si="20"/>
        <v>#VALUE!</v>
      </c>
      <c r="V121" s="41" t="e">
        <f t="shared" si="21"/>
        <v>#VALUE!</v>
      </c>
      <c r="W121" s="43" t="e">
        <f t="shared" si="22"/>
        <v>#VALUE!</v>
      </c>
      <c r="X121" s="43" t="e">
        <f t="shared" si="23"/>
        <v>#VALUE!</v>
      </c>
    </row>
    <row r="122" spans="1:24" ht="14.25" customHeight="1">
      <c r="A122" s="57"/>
      <c r="B122" s="8">
        <v>6.5</v>
      </c>
      <c r="C122" s="8">
        <f t="shared" si="28"/>
        <v>3.25</v>
      </c>
      <c r="D122" s="16" t="s">
        <v>25</v>
      </c>
      <c r="E122" s="19" t="s">
        <v>85</v>
      </c>
      <c r="F122" s="17" t="s">
        <v>34</v>
      </c>
      <c r="G122" s="15" t="s">
        <v>66</v>
      </c>
      <c r="H122" s="21" t="s">
        <v>29</v>
      </c>
      <c r="I122" s="21" t="s">
        <v>36</v>
      </c>
      <c r="J122" s="8">
        <v>2.8159999999999998</v>
      </c>
      <c r="K122" s="8">
        <v>5.8129999999999997</v>
      </c>
      <c r="L122" s="8">
        <f t="shared" si="14"/>
        <v>106.42755681818181</v>
      </c>
      <c r="M122" s="9" t="s">
        <v>31</v>
      </c>
      <c r="N122" s="9" t="s">
        <v>31</v>
      </c>
      <c r="O122" s="10" t="s">
        <v>31</v>
      </c>
      <c r="P122" s="11" t="s">
        <v>31</v>
      </c>
      <c r="Q122" s="11" t="s">
        <v>31</v>
      </c>
      <c r="R122" s="33" t="s">
        <v>31</v>
      </c>
      <c r="S122" s="37">
        <f t="shared" si="18"/>
        <v>1.4496326504700745</v>
      </c>
      <c r="T122" s="37">
        <f t="shared" si="19"/>
        <v>3.02705409247557</v>
      </c>
      <c r="U122" s="42" t="e">
        <f t="shared" si="20"/>
        <v>#VALUE!</v>
      </c>
      <c r="V122" s="41" t="e">
        <f t="shared" si="21"/>
        <v>#VALUE!</v>
      </c>
      <c r="W122" s="43" t="e">
        <f t="shared" si="22"/>
        <v>#VALUE!</v>
      </c>
      <c r="X122" s="43" t="e">
        <f t="shared" si="23"/>
        <v>#VALUE!</v>
      </c>
    </row>
    <row r="123" spans="1:24" ht="14.25" customHeight="1">
      <c r="A123" s="58"/>
      <c r="B123" s="8">
        <v>2.5</v>
      </c>
      <c r="C123" s="8">
        <f t="shared" si="28"/>
        <v>1.25</v>
      </c>
      <c r="D123" s="16" t="s">
        <v>25</v>
      </c>
      <c r="E123" s="19" t="s">
        <v>85</v>
      </c>
      <c r="F123" s="17" t="s">
        <v>34</v>
      </c>
      <c r="G123" s="15" t="s">
        <v>28</v>
      </c>
      <c r="H123" s="21" t="s">
        <v>29</v>
      </c>
      <c r="I123" s="21" t="s">
        <v>36</v>
      </c>
      <c r="J123" s="8">
        <v>2.8159999999999998</v>
      </c>
      <c r="K123" s="8">
        <v>4.2530000000000001</v>
      </c>
      <c r="L123" s="8">
        <f t="shared" si="14"/>
        <v>51.029829545454561</v>
      </c>
      <c r="M123" s="9" t="s">
        <v>31</v>
      </c>
      <c r="N123" s="9" t="s">
        <v>31</v>
      </c>
      <c r="O123" s="10" t="s">
        <v>31</v>
      </c>
      <c r="P123" s="11" t="s">
        <v>31</v>
      </c>
      <c r="Q123" s="11" t="s">
        <v>31</v>
      </c>
      <c r="R123" s="33" t="s">
        <v>31</v>
      </c>
      <c r="S123" s="37">
        <f t="shared" si="18"/>
        <v>1.4496326504700745</v>
      </c>
      <c r="T123" s="37">
        <f t="shared" si="19"/>
        <v>2.7078241176641513</v>
      </c>
      <c r="U123" s="42" t="e">
        <f t="shared" si="20"/>
        <v>#VALUE!</v>
      </c>
      <c r="V123" s="41" t="e">
        <f t="shared" si="21"/>
        <v>#VALUE!</v>
      </c>
      <c r="W123" s="43" t="e">
        <f t="shared" si="22"/>
        <v>#VALUE!</v>
      </c>
      <c r="X123" s="43" t="e">
        <f t="shared" si="23"/>
        <v>#VALUE!</v>
      </c>
    </row>
    <row r="124" spans="1:24" ht="14.25" customHeight="1">
      <c r="A124" s="45" t="s">
        <v>86</v>
      </c>
      <c r="B124" s="8">
        <v>1</v>
      </c>
      <c r="C124" s="8">
        <f t="shared" si="28"/>
        <v>0.5</v>
      </c>
      <c r="D124" s="16" t="s">
        <v>42</v>
      </c>
      <c r="E124" s="19" t="s">
        <v>87</v>
      </c>
      <c r="F124" s="17" t="s">
        <v>34</v>
      </c>
      <c r="G124" s="15" t="s">
        <v>28</v>
      </c>
      <c r="H124" s="21" t="s">
        <v>29</v>
      </c>
      <c r="I124" s="21" t="s">
        <v>36</v>
      </c>
      <c r="J124" s="8">
        <v>2.0059999999999998</v>
      </c>
      <c r="K124" s="8">
        <v>2.2160000000000002</v>
      </c>
      <c r="L124" s="8">
        <f t="shared" si="14"/>
        <v>10.468594217347977</v>
      </c>
      <c r="M124" s="9" t="s">
        <v>31</v>
      </c>
      <c r="N124" s="9" t="s">
        <v>31</v>
      </c>
      <c r="O124" s="10" t="s">
        <v>31</v>
      </c>
      <c r="P124" s="11" t="s">
        <v>31</v>
      </c>
      <c r="Q124" s="11" t="s">
        <v>31</v>
      </c>
      <c r="R124" s="33" t="s">
        <v>31</v>
      </c>
      <c r="S124" s="37">
        <f t="shared" si="18"/>
        <v>1.3023309286843994</v>
      </c>
      <c r="T124" s="37">
        <f t="shared" si="19"/>
        <v>2.0198883660495208</v>
      </c>
      <c r="U124" s="42" t="e">
        <f t="shared" si="20"/>
        <v>#VALUE!</v>
      </c>
      <c r="V124" s="41" t="e">
        <f t="shared" si="21"/>
        <v>#VALUE!</v>
      </c>
      <c r="W124" s="43" t="e">
        <f t="shared" si="22"/>
        <v>#VALUE!</v>
      </c>
      <c r="X124" s="43" t="e">
        <f t="shared" si="23"/>
        <v>#VALUE!</v>
      </c>
    </row>
    <row r="125" spans="1:24" ht="14.25" customHeight="1">
      <c r="A125" s="57"/>
      <c r="B125" s="8">
        <v>3</v>
      </c>
      <c r="C125" s="8">
        <f t="shared" si="28"/>
        <v>1.5</v>
      </c>
      <c r="D125" s="16" t="s">
        <v>42</v>
      </c>
      <c r="E125" s="19" t="s">
        <v>87</v>
      </c>
      <c r="F125" s="17" t="s">
        <v>34</v>
      </c>
      <c r="G125" s="15" t="s">
        <v>37</v>
      </c>
      <c r="H125" s="21" t="s">
        <v>29</v>
      </c>
      <c r="I125" s="21" t="s">
        <v>36</v>
      </c>
      <c r="J125" s="8">
        <v>2.0059999999999998</v>
      </c>
      <c r="K125" s="8">
        <v>2.706</v>
      </c>
      <c r="L125" s="8">
        <f t="shared" si="14"/>
        <v>34.895314057826532</v>
      </c>
      <c r="M125" s="9" t="s">
        <v>31</v>
      </c>
      <c r="N125" s="9" t="s">
        <v>31</v>
      </c>
      <c r="O125" s="10" t="s">
        <v>31</v>
      </c>
      <c r="P125" s="11" t="s">
        <v>31</v>
      </c>
      <c r="Q125" s="11" t="s">
        <v>31</v>
      </c>
      <c r="R125" s="33" t="s">
        <v>31</v>
      </c>
      <c r="S125" s="37">
        <f t="shared" si="18"/>
        <v>1.3023309286843994</v>
      </c>
      <c r="T125" s="37">
        <f t="shared" si="19"/>
        <v>2.5427671113298578</v>
      </c>
      <c r="U125" s="42" t="e">
        <f t="shared" si="20"/>
        <v>#VALUE!</v>
      </c>
      <c r="V125" s="41" t="e">
        <f t="shared" si="21"/>
        <v>#VALUE!</v>
      </c>
      <c r="W125" s="43" t="e">
        <f t="shared" si="22"/>
        <v>#VALUE!</v>
      </c>
      <c r="X125" s="43" t="e">
        <f t="shared" si="23"/>
        <v>#VALUE!</v>
      </c>
    </row>
    <row r="126" spans="1:24" ht="14.25" customHeight="1">
      <c r="A126" s="58"/>
      <c r="B126" s="8">
        <v>5</v>
      </c>
      <c r="C126" s="8">
        <f t="shared" si="28"/>
        <v>2.5</v>
      </c>
      <c r="D126" s="16" t="s">
        <v>42</v>
      </c>
      <c r="E126" s="19" t="s">
        <v>87</v>
      </c>
      <c r="F126" s="17" t="s">
        <v>34</v>
      </c>
      <c r="G126" s="15" t="s">
        <v>37</v>
      </c>
      <c r="H126" s="21" t="s">
        <v>29</v>
      </c>
      <c r="I126" s="21" t="s">
        <v>36</v>
      </c>
      <c r="J126" s="8">
        <v>2.0059999999999998</v>
      </c>
      <c r="K126" s="8">
        <v>2.8519999999999999</v>
      </c>
      <c r="L126" s="8">
        <f t="shared" si="14"/>
        <v>42.173479561316064</v>
      </c>
      <c r="M126" s="9" t="s">
        <v>31</v>
      </c>
      <c r="N126" s="9" t="s">
        <v>31</v>
      </c>
      <c r="O126" s="10" t="s">
        <v>31</v>
      </c>
      <c r="P126" s="11" t="s">
        <v>31</v>
      </c>
      <c r="Q126" s="11" t="s">
        <v>31</v>
      </c>
      <c r="R126" s="33" t="s">
        <v>31</v>
      </c>
      <c r="S126" s="37">
        <f t="shared" si="18"/>
        <v>1.3023309286843994</v>
      </c>
      <c r="T126" s="37">
        <f t="shared" si="19"/>
        <v>2.6250394343546244</v>
      </c>
      <c r="U126" s="42" t="e">
        <f t="shared" si="20"/>
        <v>#VALUE!</v>
      </c>
      <c r="V126" s="41" t="e">
        <f t="shared" si="21"/>
        <v>#VALUE!</v>
      </c>
      <c r="W126" s="43" t="e">
        <f t="shared" si="22"/>
        <v>#VALUE!</v>
      </c>
      <c r="X126" s="43" t="e">
        <f t="shared" si="23"/>
        <v>#VALUE!</v>
      </c>
    </row>
    <row r="127" spans="1:24" ht="14.25" customHeight="1">
      <c r="A127" s="48" t="s">
        <v>88</v>
      </c>
      <c r="B127" s="8">
        <v>5</v>
      </c>
      <c r="C127" s="8">
        <f t="shared" si="28"/>
        <v>2.5</v>
      </c>
      <c r="D127" s="16" t="s">
        <v>25</v>
      </c>
      <c r="E127" s="19" t="s">
        <v>57</v>
      </c>
      <c r="F127" s="17" t="s">
        <v>89</v>
      </c>
      <c r="G127" s="15" t="s">
        <v>37</v>
      </c>
      <c r="H127" s="21" t="s">
        <v>29</v>
      </c>
      <c r="I127" s="21" t="s">
        <v>36</v>
      </c>
      <c r="J127" s="8">
        <v>1.97</v>
      </c>
      <c r="K127" s="8">
        <v>2.4</v>
      </c>
      <c r="L127" s="8">
        <f t="shared" si="14"/>
        <v>21.827411167512686</v>
      </c>
      <c r="M127" s="9" t="s">
        <v>31</v>
      </c>
      <c r="N127" s="9" t="s">
        <v>31</v>
      </c>
      <c r="O127" s="10" t="s">
        <v>31</v>
      </c>
      <c r="P127" s="11" t="s">
        <v>31</v>
      </c>
      <c r="Q127" s="11" t="s">
        <v>31</v>
      </c>
      <c r="R127" s="33" t="s">
        <v>31</v>
      </c>
      <c r="S127" s="37">
        <f t="shared" si="18"/>
        <v>1.2944662261615929</v>
      </c>
      <c r="T127" s="37">
        <f t="shared" si="19"/>
        <v>2.3390022294179933</v>
      </c>
      <c r="U127" s="42" t="e">
        <f t="shared" si="20"/>
        <v>#VALUE!</v>
      </c>
      <c r="V127" s="41" t="e">
        <f t="shared" si="21"/>
        <v>#VALUE!</v>
      </c>
      <c r="W127" s="43" t="e">
        <f t="shared" si="22"/>
        <v>#VALUE!</v>
      </c>
      <c r="X127" s="43" t="e">
        <f t="shared" si="23"/>
        <v>#VALUE!</v>
      </c>
    </row>
    <row r="128" spans="1:24" ht="14.25" customHeight="1">
      <c r="A128" s="57"/>
      <c r="B128" s="8">
        <v>20</v>
      </c>
      <c r="C128" s="8">
        <f t="shared" si="28"/>
        <v>10</v>
      </c>
      <c r="D128" s="16" t="s">
        <v>25</v>
      </c>
      <c r="E128" s="19" t="s">
        <v>57</v>
      </c>
      <c r="F128" s="17" t="s">
        <v>89</v>
      </c>
      <c r="G128" s="15" t="s">
        <v>38</v>
      </c>
      <c r="H128" s="21" t="s">
        <v>29</v>
      </c>
      <c r="I128" s="21" t="s">
        <v>36</v>
      </c>
      <c r="J128" s="8">
        <v>1.97</v>
      </c>
      <c r="K128" s="8">
        <v>2.34</v>
      </c>
      <c r="L128" s="8">
        <f t="shared" si="14"/>
        <v>18.781725888324868</v>
      </c>
      <c r="M128" s="9" t="s">
        <v>31</v>
      </c>
      <c r="N128" s="9" t="s">
        <v>31</v>
      </c>
      <c r="O128" s="10" t="s">
        <v>31</v>
      </c>
      <c r="P128" s="11" t="s">
        <v>31</v>
      </c>
      <c r="Q128" s="11" t="s">
        <v>31</v>
      </c>
      <c r="R128" s="33" t="s">
        <v>31</v>
      </c>
      <c r="S128" s="37">
        <f t="shared" si="18"/>
        <v>1.2944662261615929</v>
      </c>
      <c r="T128" s="37">
        <f t="shared" si="19"/>
        <v>2.2737354979054021</v>
      </c>
      <c r="U128" s="42" t="e">
        <f t="shared" si="20"/>
        <v>#VALUE!</v>
      </c>
      <c r="V128" s="41" t="e">
        <f t="shared" si="21"/>
        <v>#VALUE!</v>
      </c>
      <c r="W128" s="43" t="e">
        <f t="shared" si="22"/>
        <v>#VALUE!</v>
      </c>
      <c r="X128" s="43" t="e">
        <f t="shared" si="23"/>
        <v>#VALUE!</v>
      </c>
    </row>
    <row r="129" spans="1:24" ht="14.25" customHeight="1">
      <c r="A129" s="57"/>
      <c r="B129" s="8">
        <v>30</v>
      </c>
      <c r="C129" s="8">
        <f t="shared" si="28"/>
        <v>15</v>
      </c>
      <c r="D129" s="16" t="s">
        <v>25</v>
      </c>
      <c r="E129" s="19" t="s">
        <v>57</v>
      </c>
      <c r="F129" s="17" t="s">
        <v>89</v>
      </c>
      <c r="G129" s="15" t="s">
        <v>38</v>
      </c>
      <c r="H129" s="21" t="s">
        <v>29</v>
      </c>
      <c r="I129" s="21" t="s">
        <v>36</v>
      </c>
      <c r="J129" s="8">
        <v>1.97</v>
      </c>
      <c r="K129" s="8">
        <v>3.13</v>
      </c>
      <c r="L129" s="8">
        <f t="shared" si="14"/>
        <v>58.883248730964468</v>
      </c>
      <c r="M129" s="9" t="s">
        <v>31</v>
      </c>
      <c r="N129" s="9" t="s">
        <v>31</v>
      </c>
      <c r="O129" s="10" t="s">
        <v>31</v>
      </c>
      <c r="P129" s="11" t="s">
        <v>31</v>
      </c>
      <c r="Q129" s="11" t="s">
        <v>31</v>
      </c>
      <c r="R129" s="33" t="s">
        <v>31</v>
      </c>
      <c r="S129" s="37">
        <f t="shared" si="18"/>
        <v>1.2944662261615929</v>
      </c>
      <c r="T129" s="37">
        <f t="shared" si="19"/>
        <v>2.7699917630653257</v>
      </c>
      <c r="U129" s="42" t="e">
        <f t="shared" si="20"/>
        <v>#VALUE!</v>
      </c>
      <c r="V129" s="41" t="e">
        <f t="shared" si="21"/>
        <v>#VALUE!</v>
      </c>
      <c r="W129" s="43" t="e">
        <f t="shared" si="22"/>
        <v>#VALUE!</v>
      </c>
      <c r="X129" s="43" t="e">
        <f t="shared" si="23"/>
        <v>#VALUE!</v>
      </c>
    </row>
    <row r="130" spans="1:24" ht="14.25" customHeight="1">
      <c r="A130" s="57"/>
      <c r="B130" s="8">
        <v>40</v>
      </c>
      <c r="C130" s="8">
        <f t="shared" si="28"/>
        <v>20</v>
      </c>
      <c r="D130" s="16" t="s">
        <v>25</v>
      </c>
      <c r="E130" s="19" t="s">
        <v>57</v>
      </c>
      <c r="F130" s="17" t="s">
        <v>89</v>
      </c>
      <c r="G130" s="15" t="s">
        <v>38</v>
      </c>
      <c r="H130" s="21" t="s">
        <v>29</v>
      </c>
      <c r="I130" s="21" t="s">
        <v>36</v>
      </c>
      <c r="J130" s="8">
        <v>1.97</v>
      </c>
      <c r="K130" s="8">
        <v>3.65</v>
      </c>
      <c r="L130" s="8">
        <f t="shared" si="14"/>
        <v>85.279187817258887</v>
      </c>
      <c r="M130" s="9" t="s">
        <v>31</v>
      </c>
      <c r="N130" s="9" t="s">
        <v>31</v>
      </c>
      <c r="O130" s="10" t="s">
        <v>31</v>
      </c>
      <c r="P130" s="11" t="s">
        <v>31</v>
      </c>
      <c r="Q130" s="11" t="s">
        <v>31</v>
      </c>
      <c r="R130" s="33" t="s">
        <v>31</v>
      </c>
      <c r="S130" s="37">
        <f t="shared" si="18"/>
        <v>1.2944662261615929</v>
      </c>
      <c r="T130" s="37">
        <f t="shared" si="19"/>
        <v>2.9308430555642699</v>
      </c>
      <c r="U130" s="42" t="e">
        <f t="shared" si="20"/>
        <v>#VALUE!</v>
      </c>
      <c r="V130" s="41" t="e">
        <f t="shared" si="21"/>
        <v>#VALUE!</v>
      </c>
      <c r="W130" s="43" t="e">
        <f t="shared" si="22"/>
        <v>#VALUE!</v>
      </c>
      <c r="X130" s="43" t="e">
        <f t="shared" si="23"/>
        <v>#VALUE!</v>
      </c>
    </row>
    <row r="131" spans="1:24" ht="14.25" customHeight="1">
      <c r="A131" s="57"/>
      <c r="B131" s="8">
        <v>10</v>
      </c>
      <c r="C131" s="8">
        <f t="shared" si="28"/>
        <v>5</v>
      </c>
      <c r="D131" s="16" t="s">
        <v>25</v>
      </c>
      <c r="E131" s="19" t="s">
        <v>57</v>
      </c>
      <c r="F131" s="17" t="s">
        <v>89</v>
      </c>
      <c r="G131" s="15" t="s">
        <v>38</v>
      </c>
      <c r="H131" s="21" t="s">
        <v>29</v>
      </c>
      <c r="I131" s="21" t="s">
        <v>36</v>
      </c>
      <c r="J131" s="8">
        <v>1.97</v>
      </c>
      <c r="K131" s="8">
        <v>2.4300000000000002</v>
      </c>
      <c r="L131" s="8">
        <f t="shared" si="14"/>
        <v>23.350253807106608</v>
      </c>
      <c r="M131" s="9" t="s">
        <v>31</v>
      </c>
      <c r="N131" s="9" t="s">
        <v>31</v>
      </c>
      <c r="O131" s="10" t="s">
        <v>31</v>
      </c>
      <c r="P131" s="11" t="s">
        <v>31</v>
      </c>
      <c r="Q131" s="11" t="s">
        <v>31</v>
      </c>
      <c r="R131" s="33" t="s">
        <v>31</v>
      </c>
      <c r="S131" s="37">
        <f t="shared" ref="S131:S195" si="29">LOG10(J131*10)</f>
        <v>1.2944662261615929</v>
      </c>
      <c r="T131" s="37">
        <f t="shared" ref="T131:T195" si="30">LOG10(L131*10)</f>
        <v>2.3682916055199814</v>
      </c>
      <c r="U131" s="42" t="e">
        <f t="shared" ref="U131:U195" si="31">LOG10(M131*10)</f>
        <v>#VALUE!</v>
      </c>
      <c r="V131" s="41" t="e">
        <f t="shared" ref="V131:V195" si="32">LOG10(O131*10)</f>
        <v>#VALUE!</v>
      </c>
      <c r="W131" s="43" t="e">
        <f t="shared" ref="W131:W195" si="33">LOG10(P131*10)</f>
        <v>#VALUE!</v>
      </c>
      <c r="X131" s="43" t="e">
        <f t="shared" ref="X131:X195" si="34">LOG10(R131*10)</f>
        <v>#VALUE!</v>
      </c>
    </row>
    <row r="132" spans="1:24" ht="14.25" customHeight="1">
      <c r="A132" s="57"/>
      <c r="B132" s="8">
        <v>20</v>
      </c>
      <c r="C132" s="8">
        <f t="shared" si="28"/>
        <v>10</v>
      </c>
      <c r="D132" s="16" t="s">
        <v>25</v>
      </c>
      <c r="E132" s="19" t="s">
        <v>57</v>
      </c>
      <c r="F132" s="17" t="s">
        <v>89</v>
      </c>
      <c r="G132" s="15" t="s">
        <v>38</v>
      </c>
      <c r="H132" s="21" t="s">
        <v>29</v>
      </c>
      <c r="I132" s="21" t="s">
        <v>36</v>
      </c>
      <c r="J132" s="8">
        <v>1.97</v>
      </c>
      <c r="K132" s="8">
        <v>2.71</v>
      </c>
      <c r="L132" s="8">
        <f t="shared" si="14"/>
        <v>37.56345177664975</v>
      </c>
      <c r="M132" s="9" t="s">
        <v>31</v>
      </c>
      <c r="N132" s="9" t="s">
        <v>31</v>
      </c>
      <c r="O132" s="10" t="s">
        <v>31</v>
      </c>
      <c r="P132" s="11" t="s">
        <v>31</v>
      </c>
      <c r="Q132" s="11" t="s">
        <v>31</v>
      </c>
      <c r="R132" s="33" t="s">
        <v>31</v>
      </c>
      <c r="S132" s="37">
        <f t="shared" si="29"/>
        <v>1.2944662261615929</v>
      </c>
      <c r="T132" s="37">
        <f t="shared" si="30"/>
        <v>2.5747654935693833</v>
      </c>
      <c r="U132" s="42" t="e">
        <f t="shared" si="31"/>
        <v>#VALUE!</v>
      </c>
      <c r="V132" s="41" t="e">
        <f t="shared" si="32"/>
        <v>#VALUE!</v>
      </c>
      <c r="W132" s="43" t="e">
        <f t="shared" si="33"/>
        <v>#VALUE!</v>
      </c>
      <c r="X132" s="43" t="e">
        <f t="shared" si="34"/>
        <v>#VALUE!</v>
      </c>
    </row>
    <row r="133" spans="1:24" ht="14.25" customHeight="1">
      <c r="A133" s="58"/>
      <c r="B133" s="8">
        <v>30</v>
      </c>
      <c r="C133" s="8">
        <f t="shared" si="28"/>
        <v>15</v>
      </c>
      <c r="D133" s="16" t="s">
        <v>25</v>
      </c>
      <c r="E133" s="19" t="s">
        <v>57</v>
      </c>
      <c r="F133" s="17" t="s">
        <v>89</v>
      </c>
      <c r="G133" s="15" t="s">
        <v>38</v>
      </c>
      <c r="H133" s="21" t="s">
        <v>29</v>
      </c>
      <c r="I133" s="21" t="s">
        <v>36</v>
      </c>
      <c r="J133" s="8">
        <v>1.97</v>
      </c>
      <c r="K133" s="8">
        <v>2.92</v>
      </c>
      <c r="L133" s="8">
        <f t="shared" si="14"/>
        <v>48.223350253807105</v>
      </c>
      <c r="M133" s="9" t="s">
        <v>31</v>
      </c>
      <c r="N133" s="9" t="s">
        <v>31</v>
      </c>
      <c r="O133" s="10" t="s">
        <v>31</v>
      </c>
      <c r="P133" s="11" t="s">
        <v>31</v>
      </c>
      <c r="Q133" s="11" t="s">
        <v>31</v>
      </c>
      <c r="R133" s="33" t="s">
        <v>31</v>
      </c>
      <c r="S133" s="37">
        <f t="shared" si="29"/>
        <v>1.2944662261615929</v>
      </c>
      <c r="T133" s="37">
        <f t="shared" si="30"/>
        <v>2.6832573791272547</v>
      </c>
      <c r="U133" s="42" t="e">
        <f t="shared" si="31"/>
        <v>#VALUE!</v>
      </c>
      <c r="V133" s="41" t="e">
        <f t="shared" si="32"/>
        <v>#VALUE!</v>
      </c>
      <c r="W133" s="43" t="e">
        <f t="shared" si="33"/>
        <v>#VALUE!</v>
      </c>
      <c r="X133" s="43" t="e">
        <f t="shared" si="34"/>
        <v>#VALUE!</v>
      </c>
    </row>
    <row r="134" spans="1:24" ht="14.25" customHeight="1">
      <c r="A134" s="45" t="s">
        <v>90</v>
      </c>
      <c r="B134" s="8">
        <v>4</v>
      </c>
      <c r="C134" s="8">
        <f t="shared" si="28"/>
        <v>2</v>
      </c>
      <c r="D134" s="16" t="s">
        <v>25</v>
      </c>
      <c r="E134" s="19" t="s">
        <v>58</v>
      </c>
      <c r="F134" s="17" t="s">
        <v>89</v>
      </c>
      <c r="G134" s="15" t="s">
        <v>37</v>
      </c>
      <c r="H134" s="21" t="s">
        <v>29</v>
      </c>
      <c r="I134" s="21" t="s">
        <v>36</v>
      </c>
      <c r="J134" s="8">
        <v>4.8</v>
      </c>
      <c r="K134" s="8">
        <v>5.4</v>
      </c>
      <c r="L134" s="8">
        <f t="shared" si="14"/>
        <v>12.500000000000011</v>
      </c>
      <c r="M134" s="9" t="s">
        <v>31</v>
      </c>
      <c r="N134" s="9" t="s">
        <v>31</v>
      </c>
      <c r="O134" s="10" t="s">
        <v>31</v>
      </c>
      <c r="P134" s="11" t="s">
        <v>31</v>
      </c>
      <c r="Q134" s="11" t="s">
        <v>31</v>
      </c>
      <c r="R134" s="33" t="s">
        <v>31</v>
      </c>
      <c r="S134" s="37">
        <f t="shared" si="29"/>
        <v>1.6812412373755872</v>
      </c>
      <c r="T134" s="37">
        <f t="shared" si="30"/>
        <v>2.0969100130080567</v>
      </c>
      <c r="U134" s="42" t="e">
        <f t="shared" si="31"/>
        <v>#VALUE!</v>
      </c>
      <c r="V134" s="41" t="e">
        <f t="shared" si="32"/>
        <v>#VALUE!</v>
      </c>
      <c r="W134" s="43" t="e">
        <f t="shared" si="33"/>
        <v>#VALUE!</v>
      </c>
      <c r="X134" s="43" t="e">
        <f t="shared" si="34"/>
        <v>#VALUE!</v>
      </c>
    </row>
    <row r="135" spans="1:24" ht="14.25" customHeight="1">
      <c r="A135" s="57"/>
      <c r="B135" s="8">
        <v>5</v>
      </c>
      <c r="C135" s="8">
        <f t="shared" si="28"/>
        <v>2.5</v>
      </c>
      <c r="D135" s="16" t="s">
        <v>25</v>
      </c>
      <c r="E135" s="19" t="s">
        <v>58</v>
      </c>
      <c r="F135" s="17" t="s">
        <v>89</v>
      </c>
      <c r="G135" s="15" t="s">
        <v>37</v>
      </c>
      <c r="H135" s="21" t="s">
        <v>29</v>
      </c>
      <c r="I135" s="21" t="s">
        <v>36</v>
      </c>
      <c r="J135" s="8">
        <v>4.8</v>
      </c>
      <c r="K135" s="8">
        <v>5.5</v>
      </c>
      <c r="L135" s="8">
        <f t="shared" si="14"/>
        <v>14.583333333333337</v>
      </c>
      <c r="M135" s="9" t="s">
        <v>31</v>
      </c>
      <c r="N135" s="9" t="s">
        <v>31</v>
      </c>
      <c r="O135" s="10" t="s">
        <v>31</v>
      </c>
      <c r="P135" s="11" t="s">
        <v>31</v>
      </c>
      <c r="Q135" s="11" t="s">
        <v>31</v>
      </c>
      <c r="R135" s="33" t="s">
        <v>31</v>
      </c>
      <c r="S135" s="37">
        <f t="shared" si="29"/>
        <v>1.6812412373755872</v>
      </c>
      <c r="T135" s="37">
        <f t="shared" si="30"/>
        <v>2.1638568026386698</v>
      </c>
      <c r="U135" s="42" t="e">
        <f t="shared" si="31"/>
        <v>#VALUE!</v>
      </c>
      <c r="V135" s="41" t="e">
        <f t="shared" si="32"/>
        <v>#VALUE!</v>
      </c>
      <c r="W135" s="43" t="e">
        <f t="shared" si="33"/>
        <v>#VALUE!</v>
      </c>
      <c r="X135" s="43" t="e">
        <f t="shared" si="34"/>
        <v>#VALUE!</v>
      </c>
    </row>
    <row r="136" spans="1:24" ht="14.25" customHeight="1">
      <c r="A136" s="58"/>
      <c r="B136" s="8">
        <v>7</v>
      </c>
      <c r="C136" s="8">
        <f t="shared" si="28"/>
        <v>3.5</v>
      </c>
      <c r="D136" s="16" t="s">
        <v>25</v>
      </c>
      <c r="E136" s="19" t="s">
        <v>58</v>
      </c>
      <c r="F136" s="17" t="s">
        <v>89</v>
      </c>
      <c r="G136" s="15" t="s">
        <v>37</v>
      </c>
      <c r="H136" s="21" t="s">
        <v>29</v>
      </c>
      <c r="I136" s="21" t="s">
        <v>36</v>
      </c>
      <c r="J136" s="8">
        <v>4.8</v>
      </c>
      <c r="K136" s="8">
        <v>5.6</v>
      </c>
      <c r="L136" s="8">
        <f t="shared" si="14"/>
        <v>16.666666666666664</v>
      </c>
      <c r="M136" s="9" t="s">
        <v>31</v>
      </c>
      <c r="N136" s="9" t="s">
        <v>31</v>
      </c>
      <c r="O136" s="10" t="s">
        <v>31</v>
      </c>
      <c r="P136" s="11" t="s">
        <v>31</v>
      </c>
      <c r="Q136" s="11" t="s">
        <v>31</v>
      </c>
      <c r="R136" s="33" t="s">
        <v>31</v>
      </c>
      <c r="S136" s="37">
        <f t="shared" si="29"/>
        <v>1.6812412373755872</v>
      </c>
      <c r="T136" s="37">
        <f t="shared" si="30"/>
        <v>2.2218487496163561</v>
      </c>
      <c r="U136" s="42" t="e">
        <f t="shared" si="31"/>
        <v>#VALUE!</v>
      </c>
      <c r="V136" s="41" t="e">
        <f t="shared" si="32"/>
        <v>#VALUE!</v>
      </c>
      <c r="W136" s="43" t="e">
        <f t="shared" si="33"/>
        <v>#VALUE!</v>
      </c>
      <c r="X136" s="43" t="e">
        <f t="shared" si="34"/>
        <v>#VALUE!</v>
      </c>
    </row>
    <row r="137" spans="1:24" ht="14.25" customHeight="1">
      <c r="A137" s="45" t="s">
        <v>91</v>
      </c>
      <c r="B137" s="8">
        <v>1.38</v>
      </c>
      <c r="C137" s="8">
        <f t="shared" si="28"/>
        <v>0.69</v>
      </c>
      <c r="D137" s="16" t="s">
        <v>25</v>
      </c>
      <c r="E137" s="19" t="s">
        <v>58</v>
      </c>
      <c r="F137" s="17" t="s">
        <v>89</v>
      </c>
      <c r="G137" s="15" t="s">
        <v>28</v>
      </c>
      <c r="H137" s="21" t="s">
        <v>29</v>
      </c>
      <c r="I137" s="21" t="s">
        <v>36</v>
      </c>
      <c r="J137" s="8">
        <v>1.1299999999999999</v>
      </c>
      <c r="K137" s="8">
        <v>1.33</v>
      </c>
      <c r="L137" s="8">
        <f t="shared" si="14"/>
        <v>17.699115044247804</v>
      </c>
      <c r="M137" s="9" t="s">
        <v>31</v>
      </c>
      <c r="N137" s="9" t="s">
        <v>31</v>
      </c>
      <c r="O137" s="10" t="s">
        <v>31</v>
      </c>
      <c r="P137" s="11" t="s">
        <v>31</v>
      </c>
      <c r="Q137" s="11" t="s">
        <v>31</v>
      </c>
      <c r="R137" s="33" t="s">
        <v>31</v>
      </c>
      <c r="S137" s="37">
        <f t="shared" si="29"/>
        <v>1.0530784434834197</v>
      </c>
      <c r="T137" s="37">
        <f t="shared" si="30"/>
        <v>2.2479515521805618</v>
      </c>
      <c r="U137" s="42" t="e">
        <f t="shared" si="31"/>
        <v>#VALUE!</v>
      </c>
      <c r="V137" s="41" t="e">
        <f t="shared" si="32"/>
        <v>#VALUE!</v>
      </c>
      <c r="W137" s="43" t="e">
        <f t="shared" si="33"/>
        <v>#VALUE!</v>
      </c>
      <c r="X137" s="43" t="e">
        <f t="shared" si="34"/>
        <v>#VALUE!</v>
      </c>
    </row>
    <row r="138" spans="1:24" ht="14.25" customHeight="1">
      <c r="A138" s="57"/>
      <c r="B138" s="8">
        <v>1.42</v>
      </c>
      <c r="C138" s="8">
        <f t="shared" si="28"/>
        <v>0.71</v>
      </c>
      <c r="D138" s="16" t="s">
        <v>25</v>
      </c>
      <c r="E138" s="19" t="s">
        <v>58</v>
      </c>
      <c r="F138" s="17" t="s">
        <v>89</v>
      </c>
      <c r="G138" s="15" t="s">
        <v>28</v>
      </c>
      <c r="H138" s="21" t="s">
        <v>29</v>
      </c>
      <c r="I138" s="21" t="s">
        <v>36</v>
      </c>
      <c r="J138" s="8">
        <v>1.1299999999999999</v>
      </c>
      <c r="K138" s="8">
        <v>1.29</v>
      </c>
      <c r="L138" s="8">
        <f t="shared" si="14"/>
        <v>14.159292035398243</v>
      </c>
      <c r="M138" s="9" t="s">
        <v>31</v>
      </c>
      <c r="N138" s="9" t="s">
        <v>31</v>
      </c>
      <c r="O138" s="10" t="s">
        <v>31</v>
      </c>
      <c r="P138" s="11" t="s">
        <v>31</v>
      </c>
      <c r="Q138" s="11" t="s">
        <v>31</v>
      </c>
      <c r="R138" s="33" t="s">
        <v>31</v>
      </c>
      <c r="S138" s="37">
        <f t="shared" si="29"/>
        <v>1.0530784434834197</v>
      </c>
      <c r="T138" s="37">
        <f t="shared" si="30"/>
        <v>2.1510415391725055</v>
      </c>
      <c r="U138" s="42" t="e">
        <f t="shared" si="31"/>
        <v>#VALUE!</v>
      </c>
      <c r="V138" s="41" t="e">
        <f t="shared" si="32"/>
        <v>#VALUE!</v>
      </c>
      <c r="W138" s="43" t="e">
        <f t="shared" si="33"/>
        <v>#VALUE!</v>
      </c>
      <c r="X138" s="43" t="e">
        <f t="shared" si="34"/>
        <v>#VALUE!</v>
      </c>
    </row>
    <row r="139" spans="1:24" ht="14.25" customHeight="1">
      <c r="A139" s="57"/>
      <c r="B139" s="8">
        <v>1.48</v>
      </c>
      <c r="C139" s="8">
        <f t="shared" si="28"/>
        <v>0.74</v>
      </c>
      <c r="D139" s="16" t="s">
        <v>25</v>
      </c>
      <c r="E139" s="19" t="s">
        <v>58</v>
      </c>
      <c r="F139" s="17" t="s">
        <v>89</v>
      </c>
      <c r="G139" s="15" t="s">
        <v>28</v>
      </c>
      <c r="H139" s="21" t="s">
        <v>29</v>
      </c>
      <c r="I139" s="21" t="s">
        <v>36</v>
      </c>
      <c r="J139" s="8">
        <v>1.1299999999999999</v>
      </c>
      <c r="K139" s="8">
        <v>1.25</v>
      </c>
      <c r="L139" s="8">
        <f t="shared" si="14"/>
        <v>10.619469026548684</v>
      </c>
      <c r="M139" s="9" t="s">
        <v>31</v>
      </c>
      <c r="N139" s="9" t="s">
        <v>31</v>
      </c>
      <c r="O139" s="10" t="s">
        <v>31</v>
      </c>
      <c r="P139" s="11" t="s">
        <v>31</v>
      </c>
      <c r="Q139" s="11" t="s">
        <v>31</v>
      </c>
      <c r="R139" s="33" t="s">
        <v>31</v>
      </c>
      <c r="S139" s="37">
        <f t="shared" si="29"/>
        <v>1.0530784434834197</v>
      </c>
      <c r="T139" s="37">
        <f t="shared" si="30"/>
        <v>2.0261028025642056</v>
      </c>
      <c r="U139" s="42" t="e">
        <f t="shared" si="31"/>
        <v>#VALUE!</v>
      </c>
      <c r="V139" s="41" t="e">
        <f t="shared" si="32"/>
        <v>#VALUE!</v>
      </c>
      <c r="W139" s="43" t="e">
        <f t="shared" si="33"/>
        <v>#VALUE!</v>
      </c>
      <c r="X139" s="43" t="e">
        <f t="shared" si="34"/>
        <v>#VALUE!</v>
      </c>
    </row>
    <row r="140" spans="1:24" ht="14.25" customHeight="1">
      <c r="A140" s="58"/>
      <c r="B140" s="8">
        <v>1.8</v>
      </c>
      <c r="C140" s="8">
        <f t="shared" si="28"/>
        <v>0.9</v>
      </c>
      <c r="D140" s="16" t="s">
        <v>25</v>
      </c>
      <c r="E140" s="19" t="s">
        <v>58</v>
      </c>
      <c r="F140" s="17" t="s">
        <v>89</v>
      </c>
      <c r="G140" s="15" t="s">
        <v>28</v>
      </c>
      <c r="H140" s="21" t="s">
        <v>29</v>
      </c>
      <c r="I140" s="21" t="s">
        <v>36</v>
      </c>
      <c r="J140" s="8">
        <v>1.1299999999999999</v>
      </c>
      <c r="K140" s="8">
        <v>1.36</v>
      </c>
      <c r="L140" s="8">
        <f t="shared" si="14"/>
        <v>20.353982300884976</v>
      </c>
      <c r="M140" s="9" t="s">
        <v>31</v>
      </c>
      <c r="N140" s="9" t="s">
        <v>31</v>
      </c>
      <c r="O140" s="10" t="s">
        <v>31</v>
      </c>
      <c r="P140" s="11" t="s">
        <v>31</v>
      </c>
      <c r="Q140" s="11" t="s">
        <v>31</v>
      </c>
      <c r="R140" s="33" t="s">
        <v>31</v>
      </c>
      <c r="S140" s="37">
        <f t="shared" si="29"/>
        <v>1.0530784434834197</v>
      </c>
      <c r="T140" s="37">
        <f t="shared" si="30"/>
        <v>2.3086493925341736</v>
      </c>
      <c r="U140" s="42" t="e">
        <f t="shared" si="31"/>
        <v>#VALUE!</v>
      </c>
      <c r="V140" s="41" t="e">
        <f t="shared" si="32"/>
        <v>#VALUE!</v>
      </c>
      <c r="W140" s="43" t="e">
        <f t="shared" si="33"/>
        <v>#VALUE!</v>
      </c>
      <c r="X140" s="43" t="e">
        <f t="shared" si="34"/>
        <v>#VALUE!</v>
      </c>
    </row>
    <row r="141" spans="1:24" ht="14.25" customHeight="1">
      <c r="A141" s="45" t="s">
        <v>92</v>
      </c>
      <c r="B141" s="8">
        <v>1</v>
      </c>
      <c r="C141" s="8">
        <f t="shared" si="28"/>
        <v>0.5</v>
      </c>
      <c r="D141" s="16" t="s">
        <v>25</v>
      </c>
      <c r="E141" s="19" t="s">
        <v>58</v>
      </c>
      <c r="F141" s="17" t="s">
        <v>89</v>
      </c>
      <c r="G141" s="15" t="s">
        <v>28</v>
      </c>
      <c r="H141" s="21" t="s">
        <v>29</v>
      </c>
      <c r="I141" s="21" t="s">
        <v>36</v>
      </c>
      <c r="J141" s="8">
        <v>1.41</v>
      </c>
      <c r="K141" s="8">
        <v>2.19</v>
      </c>
      <c r="L141" s="8">
        <f t="shared" si="14"/>
        <v>55.319148936170215</v>
      </c>
      <c r="M141" s="9" t="s">
        <v>31</v>
      </c>
      <c r="N141" s="9" t="s">
        <v>31</v>
      </c>
      <c r="O141" s="10" t="s">
        <v>31</v>
      </c>
      <c r="P141" s="11" t="s">
        <v>31</v>
      </c>
      <c r="Q141" s="11" t="s">
        <v>31</v>
      </c>
      <c r="R141" s="33" t="s">
        <v>31</v>
      </c>
      <c r="S141" s="37">
        <f t="shared" si="29"/>
        <v>1.1492191126553799</v>
      </c>
      <c r="T141" s="37">
        <f t="shared" si="30"/>
        <v>2.7428754900351007</v>
      </c>
      <c r="U141" s="42" t="e">
        <f t="shared" si="31"/>
        <v>#VALUE!</v>
      </c>
      <c r="V141" s="41" t="e">
        <f t="shared" si="32"/>
        <v>#VALUE!</v>
      </c>
      <c r="W141" s="43" t="e">
        <f t="shared" si="33"/>
        <v>#VALUE!</v>
      </c>
      <c r="X141" s="43" t="e">
        <f t="shared" si="34"/>
        <v>#VALUE!</v>
      </c>
    </row>
    <row r="142" spans="1:24" ht="14.25" customHeight="1">
      <c r="A142" s="57"/>
      <c r="B142" s="8">
        <v>2</v>
      </c>
      <c r="C142" s="8">
        <f t="shared" si="28"/>
        <v>1</v>
      </c>
      <c r="D142" s="16" t="s">
        <v>25</v>
      </c>
      <c r="E142" s="19" t="s">
        <v>58</v>
      </c>
      <c r="F142" s="17" t="s">
        <v>89</v>
      </c>
      <c r="G142" s="15" t="s">
        <v>28</v>
      </c>
      <c r="H142" s="21" t="s">
        <v>29</v>
      </c>
      <c r="I142" s="21" t="s">
        <v>36</v>
      </c>
      <c r="J142" s="8">
        <v>1.41</v>
      </c>
      <c r="K142" s="8">
        <v>2.19</v>
      </c>
      <c r="L142" s="8">
        <f t="shared" si="14"/>
        <v>55.319148936170215</v>
      </c>
      <c r="M142" s="9" t="s">
        <v>31</v>
      </c>
      <c r="N142" s="9" t="s">
        <v>31</v>
      </c>
      <c r="O142" s="10" t="s">
        <v>31</v>
      </c>
      <c r="P142" s="11" t="s">
        <v>31</v>
      </c>
      <c r="Q142" s="11" t="s">
        <v>31</v>
      </c>
      <c r="R142" s="33" t="s">
        <v>31</v>
      </c>
      <c r="S142" s="37">
        <f t="shared" si="29"/>
        <v>1.1492191126553799</v>
      </c>
      <c r="T142" s="37">
        <f t="shared" si="30"/>
        <v>2.7428754900351007</v>
      </c>
      <c r="U142" s="42" t="e">
        <f t="shared" si="31"/>
        <v>#VALUE!</v>
      </c>
      <c r="V142" s="41" t="e">
        <f t="shared" si="32"/>
        <v>#VALUE!</v>
      </c>
      <c r="W142" s="43" t="e">
        <f t="shared" si="33"/>
        <v>#VALUE!</v>
      </c>
      <c r="X142" s="43" t="e">
        <f t="shared" si="34"/>
        <v>#VALUE!</v>
      </c>
    </row>
    <row r="143" spans="1:24" ht="14.25" customHeight="1">
      <c r="A143" s="57"/>
      <c r="B143" s="8">
        <v>3</v>
      </c>
      <c r="C143" s="8">
        <f t="shared" si="28"/>
        <v>1.5</v>
      </c>
      <c r="D143" s="16" t="s">
        <v>25</v>
      </c>
      <c r="E143" s="19" t="s">
        <v>58</v>
      </c>
      <c r="F143" s="17" t="s">
        <v>89</v>
      </c>
      <c r="G143" s="15" t="s">
        <v>93</v>
      </c>
      <c r="H143" s="21" t="s">
        <v>29</v>
      </c>
      <c r="I143" s="21" t="s">
        <v>36</v>
      </c>
      <c r="J143" s="8">
        <v>1.41</v>
      </c>
      <c r="K143" s="8">
        <v>2.97</v>
      </c>
      <c r="L143" s="8">
        <f t="shared" si="14"/>
        <v>110.63829787234044</v>
      </c>
      <c r="M143" s="9" t="s">
        <v>31</v>
      </c>
      <c r="N143" s="9" t="s">
        <v>31</v>
      </c>
      <c r="O143" s="10" t="s">
        <v>31</v>
      </c>
      <c r="P143" s="11" t="s">
        <v>31</v>
      </c>
      <c r="Q143" s="11" t="s">
        <v>31</v>
      </c>
      <c r="R143" s="33" t="s">
        <v>31</v>
      </c>
      <c r="S143" s="37">
        <f t="shared" si="29"/>
        <v>1.1492191126553799</v>
      </c>
      <c r="T143" s="37">
        <f t="shared" si="30"/>
        <v>3.0439054856990819</v>
      </c>
      <c r="U143" s="42" t="e">
        <f t="shared" si="31"/>
        <v>#VALUE!</v>
      </c>
      <c r="V143" s="41" t="e">
        <f t="shared" si="32"/>
        <v>#VALUE!</v>
      </c>
      <c r="W143" s="43" t="e">
        <f t="shared" si="33"/>
        <v>#VALUE!</v>
      </c>
      <c r="X143" s="43" t="e">
        <f t="shared" si="34"/>
        <v>#VALUE!</v>
      </c>
    </row>
    <row r="144" spans="1:24" ht="14.25" customHeight="1">
      <c r="A144" s="57"/>
      <c r="B144" s="8">
        <v>5</v>
      </c>
      <c r="C144" s="8">
        <f t="shared" si="28"/>
        <v>2.5</v>
      </c>
      <c r="D144" s="16" t="s">
        <v>25</v>
      </c>
      <c r="E144" s="19" t="s">
        <v>58</v>
      </c>
      <c r="F144" s="17" t="s">
        <v>89</v>
      </c>
      <c r="G144" s="15" t="s">
        <v>37</v>
      </c>
      <c r="H144" s="21" t="s">
        <v>29</v>
      </c>
      <c r="I144" s="21" t="s">
        <v>36</v>
      </c>
      <c r="J144" s="8">
        <v>1.41</v>
      </c>
      <c r="K144" s="8">
        <v>3.75</v>
      </c>
      <c r="L144" s="8">
        <f t="shared" si="14"/>
        <v>165.95744680851064</v>
      </c>
      <c r="M144" s="9" t="s">
        <v>31</v>
      </c>
      <c r="N144" s="9" t="s">
        <v>31</v>
      </c>
      <c r="O144" s="10" t="s">
        <v>31</v>
      </c>
      <c r="P144" s="11" t="s">
        <v>31</v>
      </c>
      <c r="Q144" s="11" t="s">
        <v>31</v>
      </c>
      <c r="R144" s="33" t="s">
        <v>31</v>
      </c>
      <c r="S144" s="37">
        <f t="shared" si="29"/>
        <v>1.1492191126553799</v>
      </c>
      <c r="T144" s="37">
        <f t="shared" si="30"/>
        <v>3.2199967447547628</v>
      </c>
      <c r="U144" s="42" t="e">
        <f t="shared" si="31"/>
        <v>#VALUE!</v>
      </c>
      <c r="V144" s="41" t="e">
        <f t="shared" si="32"/>
        <v>#VALUE!</v>
      </c>
      <c r="W144" s="43" t="e">
        <f t="shared" si="33"/>
        <v>#VALUE!</v>
      </c>
      <c r="X144" s="43" t="e">
        <f t="shared" si="34"/>
        <v>#VALUE!</v>
      </c>
    </row>
    <row r="145" spans="1:24" ht="14.25" customHeight="1">
      <c r="A145" s="58"/>
      <c r="B145" s="8">
        <v>7</v>
      </c>
      <c r="C145" s="8">
        <f t="shared" si="28"/>
        <v>3.5</v>
      </c>
      <c r="D145" s="16" t="s">
        <v>25</v>
      </c>
      <c r="E145" s="19" t="s">
        <v>58</v>
      </c>
      <c r="F145" s="17" t="s">
        <v>89</v>
      </c>
      <c r="G145" s="15" t="s">
        <v>83</v>
      </c>
      <c r="H145" s="21" t="s">
        <v>29</v>
      </c>
      <c r="I145" s="21" t="s">
        <v>36</v>
      </c>
      <c r="J145" s="8">
        <v>1.41</v>
      </c>
      <c r="K145" s="8">
        <v>4.53</v>
      </c>
      <c r="L145" s="8">
        <f t="shared" si="14"/>
        <v>221.27659574468086</v>
      </c>
      <c r="M145" s="9" t="s">
        <v>31</v>
      </c>
      <c r="N145" s="9" t="s">
        <v>31</v>
      </c>
      <c r="O145" s="10" t="s">
        <v>31</v>
      </c>
      <c r="P145" s="11" t="s">
        <v>31</v>
      </c>
      <c r="Q145" s="11" t="s">
        <v>31</v>
      </c>
      <c r="R145" s="33" t="s">
        <v>31</v>
      </c>
      <c r="S145" s="37">
        <f t="shared" si="29"/>
        <v>1.1492191126553799</v>
      </c>
      <c r="T145" s="37">
        <f t="shared" si="30"/>
        <v>3.3449354813630627</v>
      </c>
      <c r="U145" s="42" t="e">
        <f t="shared" si="31"/>
        <v>#VALUE!</v>
      </c>
      <c r="V145" s="41" t="e">
        <f t="shared" si="32"/>
        <v>#VALUE!</v>
      </c>
      <c r="W145" s="43" t="e">
        <f t="shared" si="33"/>
        <v>#VALUE!</v>
      </c>
      <c r="X145" s="43" t="e">
        <f t="shared" si="34"/>
        <v>#VALUE!</v>
      </c>
    </row>
    <row r="146" spans="1:24" ht="14.25" customHeight="1">
      <c r="A146" s="45" t="s">
        <v>94</v>
      </c>
      <c r="B146" s="8">
        <v>1</v>
      </c>
      <c r="C146" s="8">
        <f t="shared" si="28"/>
        <v>0.5</v>
      </c>
      <c r="D146" s="16" t="s">
        <v>25</v>
      </c>
      <c r="E146" s="16" t="s">
        <v>95</v>
      </c>
      <c r="F146" s="17" t="s">
        <v>89</v>
      </c>
      <c r="G146" s="15" t="s">
        <v>28</v>
      </c>
      <c r="H146" s="21" t="s">
        <v>29</v>
      </c>
      <c r="I146" s="21" t="s">
        <v>36</v>
      </c>
      <c r="J146" s="8">
        <v>2</v>
      </c>
      <c r="K146" s="8">
        <v>2.5099999999999998</v>
      </c>
      <c r="L146" s="8">
        <f t="shared" si="14"/>
        <v>25.499999999999989</v>
      </c>
      <c r="M146" s="9" t="s">
        <v>31</v>
      </c>
      <c r="N146" s="9" t="s">
        <v>31</v>
      </c>
      <c r="O146" s="10" t="s">
        <v>31</v>
      </c>
      <c r="P146" s="11" t="s">
        <v>31</v>
      </c>
      <c r="Q146" s="11" t="s">
        <v>31</v>
      </c>
      <c r="R146" s="33" t="s">
        <v>31</v>
      </c>
      <c r="S146" s="37">
        <f t="shared" si="29"/>
        <v>1.3010299956639813</v>
      </c>
      <c r="T146" s="37">
        <f t="shared" si="30"/>
        <v>2.406540180433955</v>
      </c>
      <c r="U146" s="42" t="e">
        <f t="shared" si="31"/>
        <v>#VALUE!</v>
      </c>
      <c r="V146" s="41" t="e">
        <f t="shared" si="32"/>
        <v>#VALUE!</v>
      </c>
      <c r="W146" s="43" t="e">
        <f t="shared" si="33"/>
        <v>#VALUE!</v>
      </c>
      <c r="X146" s="43" t="e">
        <f t="shared" si="34"/>
        <v>#VALUE!</v>
      </c>
    </row>
    <row r="147" spans="1:24" ht="14.25" customHeight="1">
      <c r="A147" s="57"/>
      <c r="B147" s="8">
        <v>3</v>
      </c>
      <c r="C147" s="8">
        <f t="shared" si="28"/>
        <v>1.5</v>
      </c>
      <c r="D147" s="16" t="s">
        <v>25</v>
      </c>
      <c r="E147" s="16" t="s">
        <v>95</v>
      </c>
      <c r="F147" s="17" t="s">
        <v>89</v>
      </c>
      <c r="G147" s="15" t="s">
        <v>37</v>
      </c>
      <c r="H147" s="21" t="s">
        <v>29</v>
      </c>
      <c r="I147" s="21" t="s">
        <v>36</v>
      </c>
      <c r="J147" s="8">
        <v>2</v>
      </c>
      <c r="K147" s="8">
        <v>2.65</v>
      </c>
      <c r="L147" s="8">
        <f t="shared" si="14"/>
        <v>32.499999999999993</v>
      </c>
      <c r="M147" s="9" t="s">
        <v>31</v>
      </c>
      <c r="N147" s="9" t="s">
        <v>31</v>
      </c>
      <c r="O147" s="10" t="s">
        <v>31</v>
      </c>
      <c r="P147" s="11" t="s">
        <v>31</v>
      </c>
      <c r="Q147" s="11" t="s">
        <v>31</v>
      </c>
      <c r="R147" s="33" t="s">
        <v>31</v>
      </c>
      <c r="S147" s="37">
        <f t="shared" si="29"/>
        <v>1.3010299956639813</v>
      </c>
      <c r="T147" s="37">
        <f t="shared" si="30"/>
        <v>2.5118833609788744</v>
      </c>
      <c r="U147" s="42" t="e">
        <f t="shared" si="31"/>
        <v>#VALUE!</v>
      </c>
      <c r="V147" s="41" t="e">
        <f t="shared" si="32"/>
        <v>#VALUE!</v>
      </c>
      <c r="W147" s="43" t="e">
        <f t="shared" si="33"/>
        <v>#VALUE!</v>
      </c>
      <c r="X147" s="43" t="e">
        <f t="shared" si="34"/>
        <v>#VALUE!</v>
      </c>
    </row>
    <row r="148" spans="1:24" ht="14.25" customHeight="1">
      <c r="A148" s="58"/>
      <c r="B148" s="8">
        <v>5</v>
      </c>
      <c r="C148" s="8">
        <f t="shared" si="28"/>
        <v>2.5</v>
      </c>
      <c r="D148" s="16" t="s">
        <v>25</v>
      </c>
      <c r="E148" s="16" t="s">
        <v>95</v>
      </c>
      <c r="F148" s="17" t="s">
        <v>89</v>
      </c>
      <c r="G148" s="15" t="s">
        <v>37</v>
      </c>
      <c r="H148" s="21" t="s">
        <v>29</v>
      </c>
      <c r="I148" s="21" t="s">
        <v>36</v>
      </c>
      <c r="J148" s="8">
        <v>2</v>
      </c>
      <c r="K148" s="8">
        <v>1.82</v>
      </c>
      <c r="L148" s="8">
        <f t="shared" si="14"/>
        <v>-8.9999999999999964</v>
      </c>
      <c r="M148" s="9" t="s">
        <v>31</v>
      </c>
      <c r="N148" s="9" t="s">
        <v>31</v>
      </c>
      <c r="O148" s="10" t="s">
        <v>31</v>
      </c>
      <c r="P148" s="11" t="s">
        <v>31</v>
      </c>
      <c r="Q148" s="11" t="s">
        <v>31</v>
      </c>
      <c r="R148" s="33" t="s">
        <v>31</v>
      </c>
      <c r="S148" s="37">
        <f t="shared" si="29"/>
        <v>1.3010299956639813</v>
      </c>
      <c r="T148" s="37" t="e">
        <f t="shared" si="30"/>
        <v>#NUM!</v>
      </c>
      <c r="U148" s="42" t="e">
        <f t="shared" si="31"/>
        <v>#VALUE!</v>
      </c>
      <c r="V148" s="41" t="e">
        <f t="shared" si="32"/>
        <v>#VALUE!</v>
      </c>
      <c r="W148" s="43" t="e">
        <f t="shared" si="33"/>
        <v>#VALUE!</v>
      </c>
      <c r="X148" s="43" t="e">
        <f t="shared" si="34"/>
        <v>#VALUE!</v>
      </c>
    </row>
    <row r="149" spans="1:24" ht="14.25" customHeight="1">
      <c r="A149" s="45" t="s">
        <v>96</v>
      </c>
      <c r="B149" s="8">
        <v>0.5</v>
      </c>
      <c r="C149" s="8">
        <f t="shared" si="28"/>
        <v>0.25</v>
      </c>
      <c r="D149" s="16" t="s">
        <v>25</v>
      </c>
      <c r="E149" s="16" t="s">
        <v>33</v>
      </c>
      <c r="F149" s="17" t="s">
        <v>89</v>
      </c>
      <c r="G149" s="15" t="s">
        <v>28</v>
      </c>
      <c r="H149" s="21" t="s">
        <v>29</v>
      </c>
      <c r="I149" s="21" t="s">
        <v>36</v>
      </c>
      <c r="J149" s="8">
        <v>1.43</v>
      </c>
      <c r="K149" s="8">
        <v>1.52</v>
      </c>
      <c r="L149" s="8">
        <f t="shared" si="14"/>
        <v>6.2937062937062995</v>
      </c>
      <c r="M149" s="9">
        <v>33.6</v>
      </c>
      <c r="N149" s="9">
        <v>33.5</v>
      </c>
      <c r="O149" s="10">
        <f>(N149-M149)/M149*100</f>
        <v>-0.29761904761905184</v>
      </c>
      <c r="P149" s="11">
        <v>0.308</v>
      </c>
      <c r="Q149" s="11">
        <v>0.17599999999999999</v>
      </c>
      <c r="R149" s="33">
        <f>((Q149-P149)/P149)*100</f>
        <v>-42.857142857142861</v>
      </c>
      <c r="S149" s="37">
        <f t="shared" si="29"/>
        <v>1.1553360374650619</v>
      </c>
      <c r="T149" s="37">
        <f t="shared" si="30"/>
        <v>1.7989064719742636</v>
      </c>
      <c r="U149" s="42">
        <f t="shared" si="31"/>
        <v>2.5263392773898441</v>
      </c>
      <c r="V149" s="41" t="e">
        <f t="shared" si="32"/>
        <v>#NUM!</v>
      </c>
      <c r="W149" s="43">
        <f t="shared" si="33"/>
        <v>0.48855071650044429</v>
      </c>
      <c r="X149" s="43" t="e">
        <f t="shared" si="34"/>
        <v>#NUM!</v>
      </c>
    </row>
    <row r="150" spans="1:24" ht="14.25" customHeight="1">
      <c r="A150" s="57"/>
      <c r="B150" s="8">
        <v>1</v>
      </c>
      <c r="C150" s="8">
        <f t="shared" si="28"/>
        <v>0.5</v>
      </c>
      <c r="D150" s="16" t="s">
        <v>25</v>
      </c>
      <c r="E150" s="16" t="s">
        <v>33</v>
      </c>
      <c r="F150" s="17" t="s">
        <v>89</v>
      </c>
      <c r="G150" s="15" t="s">
        <v>28</v>
      </c>
      <c r="H150" s="21" t="s">
        <v>29</v>
      </c>
      <c r="I150" s="21" t="s">
        <v>36</v>
      </c>
      <c r="J150" s="8">
        <v>1.43</v>
      </c>
      <c r="K150" s="8">
        <v>1.62</v>
      </c>
      <c r="L150" s="8">
        <f t="shared" si="14"/>
        <v>13.286713286713301</v>
      </c>
      <c r="M150" s="9">
        <v>33.6</v>
      </c>
      <c r="N150" s="9">
        <v>34.1</v>
      </c>
      <c r="O150" s="10">
        <f t="shared" ref="O150:O166" si="35">(N150-M150)/M150*100</f>
        <v>1.4880952380952379</v>
      </c>
      <c r="P150" s="11">
        <v>0.308</v>
      </c>
      <c r="Q150" s="11">
        <v>0.16300000000000001</v>
      </c>
      <c r="R150" s="33">
        <f t="shared" ref="R150:R154" si="36">((Q150-P150)/P150)*100</f>
        <v>-47.077922077922075</v>
      </c>
      <c r="S150" s="37">
        <f t="shared" si="29"/>
        <v>1.1553360374650619</v>
      </c>
      <c r="T150" s="37">
        <f t="shared" si="30"/>
        <v>2.1234175634877674</v>
      </c>
      <c r="U150" s="42">
        <f t="shared" si="31"/>
        <v>2.5263392773898441</v>
      </c>
      <c r="V150" s="41">
        <f t="shared" si="32"/>
        <v>1.1726307269461747</v>
      </c>
      <c r="W150" s="43">
        <f t="shared" si="33"/>
        <v>0.48855071650044429</v>
      </c>
      <c r="X150" s="43" t="e">
        <f t="shared" si="34"/>
        <v>#NUM!</v>
      </c>
    </row>
    <row r="151" spans="1:24" ht="14.25" customHeight="1">
      <c r="A151" s="57"/>
      <c r="B151" s="8">
        <v>3</v>
      </c>
      <c r="C151" s="8">
        <f t="shared" si="28"/>
        <v>1.5</v>
      </c>
      <c r="D151" s="16" t="s">
        <v>25</v>
      </c>
      <c r="E151" s="16" t="s">
        <v>33</v>
      </c>
      <c r="F151" s="17" t="s">
        <v>89</v>
      </c>
      <c r="G151" s="15" t="s">
        <v>37</v>
      </c>
      <c r="H151" s="21" t="s">
        <v>29</v>
      </c>
      <c r="I151" s="21" t="s">
        <v>36</v>
      </c>
      <c r="J151" s="8">
        <v>1.43</v>
      </c>
      <c r="K151" s="8">
        <v>1.86</v>
      </c>
      <c r="L151" s="8">
        <f t="shared" si="14"/>
        <v>30.069930069930084</v>
      </c>
      <c r="M151" s="9">
        <v>33.6</v>
      </c>
      <c r="N151" s="9">
        <v>33.9</v>
      </c>
      <c r="O151" s="10">
        <f t="shared" si="35"/>
        <v>0.89285714285713436</v>
      </c>
      <c r="P151" s="11">
        <v>0.308</v>
      </c>
      <c r="Q151" s="11">
        <v>0.13100000000000001</v>
      </c>
      <c r="R151" s="33">
        <f t="shared" si="36"/>
        <v>-57.467532467532465</v>
      </c>
      <c r="S151" s="37">
        <f t="shared" si="29"/>
        <v>1.1553360374650619</v>
      </c>
      <c r="T151" s="37">
        <f t="shared" si="30"/>
        <v>2.4781324181145248</v>
      </c>
      <c r="U151" s="42">
        <f t="shared" si="31"/>
        <v>2.5263392773898441</v>
      </c>
      <c r="V151" s="41">
        <f t="shared" si="32"/>
        <v>0.95078197732981429</v>
      </c>
      <c r="W151" s="43">
        <f t="shared" si="33"/>
        <v>0.48855071650044429</v>
      </c>
      <c r="X151" s="43" t="e">
        <f t="shared" si="34"/>
        <v>#NUM!</v>
      </c>
    </row>
    <row r="152" spans="1:24" ht="14.25" customHeight="1">
      <c r="A152" s="58"/>
      <c r="B152" s="8">
        <v>5</v>
      </c>
      <c r="C152" s="8">
        <f t="shared" si="28"/>
        <v>2.5</v>
      </c>
      <c r="D152" s="16" t="s">
        <v>25</v>
      </c>
      <c r="E152" s="16" t="s">
        <v>33</v>
      </c>
      <c r="F152" s="17" t="s">
        <v>89</v>
      </c>
      <c r="G152" s="15" t="s">
        <v>37</v>
      </c>
      <c r="H152" s="21" t="s">
        <v>29</v>
      </c>
      <c r="I152" s="21" t="s">
        <v>36</v>
      </c>
      <c r="J152" s="8">
        <v>1.43</v>
      </c>
      <c r="K152" s="8">
        <v>1.88</v>
      </c>
      <c r="L152" s="8">
        <f t="shared" si="14"/>
        <v>31.46853146853147</v>
      </c>
      <c r="M152" s="9">
        <v>33.6</v>
      </c>
      <c r="N152" s="9">
        <v>32.799999999999997</v>
      </c>
      <c r="O152" s="10">
        <f t="shared" si="35"/>
        <v>-2.3809523809523938</v>
      </c>
      <c r="P152" s="11">
        <v>0.308</v>
      </c>
      <c r="Q152" s="11">
        <v>7.1999999999999995E-2</v>
      </c>
      <c r="R152" s="33">
        <f t="shared" si="36"/>
        <v>-76.623376623376615</v>
      </c>
      <c r="S152" s="37">
        <f t="shared" si="29"/>
        <v>1.1553360374650619</v>
      </c>
      <c r="T152" s="37">
        <f t="shared" si="30"/>
        <v>2.4978764763102821</v>
      </c>
      <c r="U152" s="42">
        <f t="shared" si="31"/>
        <v>2.5263392773898441</v>
      </c>
      <c r="V152" s="41" t="e">
        <f t="shared" si="32"/>
        <v>#NUM!</v>
      </c>
      <c r="W152" s="43">
        <f t="shared" si="33"/>
        <v>0.48855071650044429</v>
      </c>
      <c r="X152" s="43" t="e">
        <f t="shared" si="34"/>
        <v>#NUM!</v>
      </c>
    </row>
    <row r="153" spans="1:24" ht="14.25" customHeight="1">
      <c r="A153" s="45" t="s">
        <v>97</v>
      </c>
      <c r="B153" s="8">
        <v>1</v>
      </c>
      <c r="C153" s="8">
        <f t="shared" si="28"/>
        <v>0.5</v>
      </c>
      <c r="D153" s="16" t="s">
        <v>25</v>
      </c>
      <c r="E153" s="16" t="s">
        <v>98</v>
      </c>
      <c r="F153" s="17" t="s">
        <v>89</v>
      </c>
      <c r="G153" s="15" t="s">
        <v>28</v>
      </c>
      <c r="H153" s="21" t="s">
        <v>29</v>
      </c>
      <c r="I153" s="21" t="s">
        <v>36</v>
      </c>
      <c r="J153" s="8">
        <v>3.03</v>
      </c>
      <c r="K153" s="8">
        <v>3.11</v>
      </c>
      <c r="L153" s="8">
        <f t="shared" si="14"/>
        <v>2.6402640264026429</v>
      </c>
      <c r="M153" s="9">
        <v>38.74</v>
      </c>
      <c r="N153" s="9">
        <v>41.69</v>
      </c>
      <c r="O153" s="10">
        <f t="shared" si="35"/>
        <v>7.6148683531233745</v>
      </c>
      <c r="P153" s="11">
        <v>2.1600000000000001E-2</v>
      </c>
      <c r="Q153" s="11">
        <v>1.9900000000000001E-2</v>
      </c>
      <c r="R153" s="33">
        <f t="shared" si="36"/>
        <v>-7.8703703703703702</v>
      </c>
      <c r="S153" s="37">
        <f t="shared" si="29"/>
        <v>1.481442628502305</v>
      </c>
      <c r="T153" s="37">
        <f t="shared" si="30"/>
        <v>1.421647358489639</v>
      </c>
      <c r="U153" s="42">
        <f t="shared" si="31"/>
        <v>2.5881596163830922</v>
      </c>
      <c r="V153" s="41">
        <f t="shared" si="32"/>
        <v>1.8816623995950703</v>
      </c>
      <c r="W153" s="43">
        <f t="shared" si="33"/>
        <v>-0.6655462488490691</v>
      </c>
      <c r="X153" s="43" t="e">
        <f t="shared" si="34"/>
        <v>#NUM!</v>
      </c>
    </row>
    <row r="154" spans="1:24" ht="14.25" customHeight="1">
      <c r="A154" s="57"/>
      <c r="B154" s="8">
        <v>2</v>
      </c>
      <c r="C154" s="8">
        <f t="shared" si="28"/>
        <v>1</v>
      </c>
      <c r="D154" s="16" t="s">
        <v>25</v>
      </c>
      <c r="E154" s="16" t="s">
        <v>98</v>
      </c>
      <c r="F154" s="17" t="s">
        <v>89</v>
      </c>
      <c r="G154" s="15" t="s">
        <v>37</v>
      </c>
      <c r="H154" s="21" t="s">
        <v>29</v>
      </c>
      <c r="I154" s="21" t="s">
        <v>36</v>
      </c>
      <c r="J154" s="8">
        <v>3.03</v>
      </c>
      <c r="K154" s="8">
        <v>3.82</v>
      </c>
      <c r="L154" s="8">
        <f t="shared" si="14"/>
        <v>26.072607260726077</v>
      </c>
      <c r="M154" s="9">
        <v>38.74</v>
      </c>
      <c r="N154" s="9">
        <v>44.91</v>
      </c>
      <c r="O154" s="10">
        <f t="shared" si="35"/>
        <v>15.92669075890551</v>
      </c>
      <c r="P154" s="11">
        <v>2.1600000000000001E-2</v>
      </c>
      <c r="Q154" s="11">
        <v>1.7899999999999999E-2</v>
      </c>
      <c r="R154" s="33">
        <f t="shared" si="36"/>
        <v>-17.129629629629637</v>
      </c>
      <c r="S154" s="37">
        <f t="shared" si="29"/>
        <v>1.481442628502305</v>
      </c>
      <c r="T154" s="37">
        <f t="shared" si="30"/>
        <v>2.4161844627881366</v>
      </c>
      <c r="U154" s="42">
        <f t="shared" si="31"/>
        <v>2.5881596163830922</v>
      </c>
      <c r="V154" s="41">
        <f t="shared" si="32"/>
        <v>2.2021255476501493</v>
      </c>
      <c r="W154" s="43">
        <f t="shared" si="33"/>
        <v>-0.6655462488490691</v>
      </c>
      <c r="X154" s="43" t="e">
        <f t="shared" si="34"/>
        <v>#NUM!</v>
      </c>
    </row>
    <row r="155" spans="1:24" ht="14.25" customHeight="1">
      <c r="A155" s="58"/>
      <c r="B155" s="8">
        <v>4</v>
      </c>
      <c r="C155" s="8">
        <f t="shared" si="28"/>
        <v>2</v>
      </c>
      <c r="D155" s="16" t="s">
        <v>25</v>
      </c>
      <c r="E155" s="16" t="s">
        <v>98</v>
      </c>
      <c r="F155" s="17" t="s">
        <v>89</v>
      </c>
      <c r="G155" s="15" t="s">
        <v>37</v>
      </c>
      <c r="H155" s="21" t="s">
        <v>29</v>
      </c>
      <c r="I155" s="21" t="s">
        <v>36</v>
      </c>
      <c r="J155" s="8">
        <v>3.03</v>
      </c>
      <c r="K155" s="8">
        <v>3.91</v>
      </c>
      <c r="L155" s="8">
        <f t="shared" si="14"/>
        <v>29.042904290429057</v>
      </c>
      <c r="M155" s="9">
        <v>38.74</v>
      </c>
      <c r="N155" s="9">
        <v>46.29</v>
      </c>
      <c r="O155" s="10">
        <f t="shared" si="35"/>
        <v>19.488900361383575</v>
      </c>
      <c r="P155" s="11">
        <v>2.1600000000000001E-2</v>
      </c>
      <c r="Q155" s="11">
        <v>1.61E-2</v>
      </c>
      <c r="R155" s="33">
        <f>((Q155-P155)/P155)*100</f>
        <v>-25.462962962962969</v>
      </c>
      <c r="S155" s="37">
        <f t="shared" si="29"/>
        <v>1.481442628502305</v>
      </c>
      <c r="T155" s="37">
        <f t="shared" si="30"/>
        <v>2.4630400436478639</v>
      </c>
      <c r="U155" s="42">
        <f t="shared" si="31"/>
        <v>2.5881596163830922</v>
      </c>
      <c r="V155" s="41">
        <f t="shared" si="32"/>
        <v>2.2897873352460962</v>
      </c>
      <c r="W155" s="43">
        <f t="shared" si="33"/>
        <v>-0.6655462488490691</v>
      </c>
      <c r="X155" s="43" t="e">
        <f t="shared" si="34"/>
        <v>#NUM!</v>
      </c>
    </row>
    <row r="156" spans="1:24" ht="14.25" customHeight="1">
      <c r="A156" s="45" t="s">
        <v>99</v>
      </c>
      <c r="B156" s="8">
        <v>5</v>
      </c>
      <c r="C156" s="8">
        <f t="shared" si="28"/>
        <v>2.5</v>
      </c>
      <c r="D156" s="16" t="s">
        <v>25</v>
      </c>
      <c r="E156" s="16" t="s">
        <v>33</v>
      </c>
      <c r="F156" s="17" t="s">
        <v>34</v>
      </c>
      <c r="G156" s="15" t="s">
        <v>37</v>
      </c>
      <c r="H156" s="21" t="s">
        <v>29</v>
      </c>
      <c r="I156" s="21" t="s">
        <v>36</v>
      </c>
      <c r="J156" s="8">
        <v>1.56</v>
      </c>
      <c r="K156" s="8">
        <v>2.15</v>
      </c>
      <c r="L156" s="8">
        <f t="shared" si="14"/>
        <v>37.82051282051281</v>
      </c>
      <c r="M156" s="9">
        <v>37.4</v>
      </c>
      <c r="N156" s="9">
        <v>41</v>
      </c>
      <c r="O156" s="10">
        <f t="shared" si="35"/>
        <v>9.6256684491978639</v>
      </c>
      <c r="P156" s="11" t="s">
        <v>31</v>
      </c>
      <c r="Q156" s="11" t="s">
        <v>31</v>
      </c>
      <c r="R156" s="33" t="s">
        <v>31</v>
      </c>
      <c r="S156" s="37">
        <f t="shared" si="29"/>
        <v>1.1931245983544616</v>
      </c>
      <c r="T156" s="37">
        <f t="shared" si="30"/>
        <v>2.5777274132876826</v>
      </c>
      <c r="U156" s="42">
        <f t="shared" si="31"/>
        <v>2.5728716022004803</v>
      </c>
      <c r="V156" s="41">
        <f t="shared" si="32"/>
        <v>1.9834308985668072</v>
      </c>
      <c r="W156" s="43" t="e">
        <f t="shared" si="33"/>
        <v>#VALUE!</v>
      </c>
      <c r="X156" s="43" t="e">
        <f t="shared" si="34"/>
        <v>#VALUE!</v>
      </c>
    </row>
    <row r="157" spans="1:24" ht="14.25" customHeight="1">
      <c r="A157" s="57"/>
      <c r="B157" s="8">
        <v>10</v>
      </c>
      <c r="C157" s="8">
        <f t="shared" si="28"/>
        <v>5</v>
      </c>
      <c r="D157" s="16" t="s">
        <v>25</v>
      </c>
      <c r="E157" s="16" t="s">
        <v>33</v>
      </c>
      <c r="F157" s="17" t="s">
        <v>34</v>
      </c>
      <c r="G157" s="15" t="s">
        <v>78</v>
      </c>
      <c r="H157" s="21" t="s">
        <v>29</v>
      </c>
      <c r="I157" s="21" t="s">
        <v>36</v>
      </c>
      <c r="J157" s="8">
        <v>1.56</v>
      </c>
      <c r="K157" s="8">
        <v>2.33</v>
      </c>
      <c r="L157" s="8">
        <f t="shared" si="14"/>
        <v>49.358974358974358</v>
      </c>
      <c r="M157" s="9">
        <v>37.4</v>
      </c>
      <c r="N157" s="9">
        <v>41.1</v>
      </c>
      <c r="O157" s="10">
        <f t="shared" si="35"/>
        <v>9.8930481283422544</v>
      </c>
      <c r="P157" s="11" t="s">
        <v>31</v>
      </c>
      <c r="Q157" s="11" t="s">
        <v>31</v>
      </c>
      <c r="R157" s="33" t="s">
        <v>31</v>
      </c>
      <c r="S157" s="37">
        <f t="shared" si="29"/>
        <v>1.1931245983544616</v>
      </c>
      <c r="T157" s="37">
        <f t="shared" si="30"/>
        <v>2.6933661268180202</v>
      </c>
      <c r="U157" s="42">
        <f t="shared" si="31"/>
        <v>2.5728716022004803</v>
      </c>
      <c r="V157" s="41">
        <f t="shared" si="32"/>
        <v>1.9953301218665151</v>
      </c>
      <c r="W157" s="43" t="e">
        <f t="shared" si="33"/>
        <v>#VALUE!</v>
      </c>
      <c r="X157" s="43" t="e">
        <f t="shared" si="34"/>
        <v>#VALUE!</v>
      </c>
    </row>
    <row r="158" spans="1:24" ht="14.25" customHeight="1">
      <c r="A158" s="57"/>
      <c r="B158" s="8">
        <v>15</v>
      </c>
      <c r="C158" s="8">
        <f t="shared" si="28"/>
        <v>7.5</v>
      </c>
      <c r="D158" s="16" t="s">
        <v>25</v>
      </c>
      <c r="E158" s="16" t="s">
        <v>33</v>
      </c>
      <c r="F158" s="17" t="s">
        <v>34</v>
      </c>
      <c r="G158" s="15" t="s">
        <v>78</v>
      </c>
      <c r="H158" s="21" t="s">
        <v>29</v>
      </c>
      <c r="I158" s="21" t="s">
        <v>36</v>
      </c>
      <c r="J158" s="8">
        <v>1.56</v>
      </c>
      <c r="K158" s="8">
        <v>2.8</v>
      </c>
      <c r="L158" s="8">
        <f t="shared" si="14"/>
        <v>79.487179487179475</v>
      </c>
      <c r="M158" s="9">
        <v>37.4</v>
      </c>
      <c r="N158" s="9">
        <v>41.8</v>
      </c>
      <c r="O158" s="10">
        <f t="shared" si="35"/>
        <v>11.764705882352938</v>
      </c>
      <c r="P158" s="11" t="s">
        <v>31</v>
      </c>
      <c r="Q158" s="11" t="s">
        <v>31</v>
      </c>
      <c r="R158" s="33" t="s">
        <v>31</v>
      </c>
      <c r="S158" s="37">
        <f t="shared" si="29"/>
        <v>1.1931245983544616</v>
      </c>
      <c r="T158" s="37">
        <f t="shared" si="30"/>
        <v>2.9002970868077735</v>
      </c>
      <c r="U158" s="42">
        <f t="shared" si="31"/>
        <v>2.5728716022004803</v>
      </c>
      <c r="V158" s="41">
        <f t="shared" si="32"/>
        <v>2.0705810742857071</v>
      </c>
      <c r="W158" s="43" t="e">
        <f t="shared" si="33"/>
        <v>#VALUE!</v>
      </c>
      <c r="X158" s="43" t="e">
        <f t="shared" si="34"/>
        <v>#VALUE!</v>
      </c>
    </row>
    <row r="159" spans="1:24" ht="14.25" customHeight="1">
      <c r="A159" s="57"/>
      <c r="B159" s="8">
        <v>5</v>
      </c>
      <c r="C159" s="8">
        <f t="shared" si="28"/>
        <v>2.5</v>
      </c>
      <c r="D159" s="16" t="s">
        <v>25</v>
      </c>
      <c r="E159" s="16" t="s">
        <v>33</v>
      </c>
      <c r="F159" s="17" t="s">
        <v>34</v>
      </c>
      <c r="G159" s="15" t="s">
        <v>37</v>
      </c>
      <c r="H159" s="21" t="s">
        <v>29</v>
      </c>
      <c r="I159" s="21" t="s">
        <v>36</v>
      </c>
      <c r="J159" s="8">
        <v>1.48</v>
      </c>
      <c r="K159" s="8">
        <v>2.13</v>
      </c>
      <c r="L159" s="8">
        <f t="shared" si="14"/>
        <v>43.918918918918912</v>
      </c>
      <c r="M159" s="9">
        <v>37.4</v>
      </c>
      <c r="N159" s="9">
        <v>41</v>
      </c>
      <c r="O159" s="10">
        <f t="shared" si="35"/>
        <v>9.6256684491978639</v>
      </c>
      <c r="P159" s="11" t="s">
        <v>31</v>
      </c>
      <c r="Q159" s="11" t="s">
        <v>31</v>
      </c>
      <c r="R159" s="33" t="s">
        <v>31</v>
      </c>
      <c r="S159" s="37">
        <f t="shared" si="29"/>
        <v>1.1702617153949575</v>
      </c>
      <c r="T159" s="37">
        <f t="shared" si="30"/>
        <v>2.6426516412478982</v>
      </c>
      <c r="U159" s="42">
        <f t="shared" si="31"/>
        <v>2.5728716022004803</v>
      </c>
      <c r="V159" s="41">
        <f t="shared" si="32"/>
        <v>1.9834308985668072</v>
      </c>
      <c r="W159" s="43" t="e">
        <f t="shared" si="33"/>
        <v>#VALUE!</v>
      </c>
      <c r="X159" s="43" t="e">
        <f t="shared" si="34"/>
        <v>#VALUE!</v>
      </c>
    </row>
    <row r="160" spans="1:24" ht="14.25" customHeight="1">
      <c r="A160" s="57"/>
      <c r="B160" s="8">
        <v>10</v>
      </c>
      <c r="C160" s="8">
        <f t="shared" si="28"/>
        <v>5</v>
      </c>
      <c r="D160" s="16" t="s">
        <v>25</v>
      </c>
      <c r="E160" s="16" t="s">
        <v>33</v>
      </c>
      <c r="F160" s="17" t="s">
        <v>34</v>
      </c>
      <c r="G160" s="15" t="s">
        <v>78</v>
      </c>
      <c r="H160" s="21" t="s">
        <v>29</v>
      </c>
      <c r="I160" s="21" t="s">
        <v>36</v>
      </c>
      <c r="J160" s="8">
        <v>1.48</v>
      </c>
      <c r="K160" s="8">
        <v>2.36</v>
      </c>
      <c r="L160" s="8">
        <f t="shared" si="14"/>
        <v>59.459459459459453</v>
      </c>
      <c r="M160" s="9">
        <v>37.4</v>
      </c>
      <c r="N160" s="9">
        <v>41.1</v>
      </c>
      <c r="O160" s="10">
        <f t="shared" si="35"/>
        <v>9.8930481283422544</v>
      </c>
      <c r="P160" s="11" t="s">
        <v>31</v>
      </c>
      <c r="Q160" s="11" t="s">
        <v>31</v>
      </c>
      <c r="R160" s="33" t="s">
        <v>31</v>
      </c>
      <c r="S160" s="37">
        <f t="shared" si="29"/>
        <v>1.1702617153949575</v>
      </c>
      <c r="T160" s="37">
        <f t="shared" si="30"/>
        <v>2.7742209567552112</v>
      </c>
      <c r="U160" s="42">
        <f t="shared" si="31"/>
        <v>2.5728716022004803</v>
      </c>
      <c r="V160" s="41">
        <f t="shared" si="32"/>
        <v>1.9953301218665151</v>
      </c>
      <c r="W160" s="43" t="e">
        <f t="shared" si="33"/>
        <v>#VALUE!</v>
      </c>
      <c r="X160" s="43" t="e">
        <f t="shared" si="34"/>
        <v>#VALUE!</v>
      </c>
    </row>
    <row r="161" spans="1:24" ht="14.25" customHeight="1">
      <c r="A161" s="58"/>
      <c r="B161" s="8">
        <v>15</v>
      </c>
      <c r="C161" s="8">
        <f t="shared" si="28"/>
        <v>7.5</v>
      </c>
      <c r="D161" s="16" t="s">
        <v>25</v>
      </c>
      <c r="E161" s="16" t="s">
        <v>33</v>
      </c>
      <c r="F161" s="17" t="s">
        <v>34</v>
      </c>
      <c r="G161" s="15" t="s">
        <v>78</v>
      </c>
      <c r="H161" s="21" t="s">
        <v>29</v>
      </c>
      <c r="I161" s="21" t="s">
        <v>36</v>
      </c>
      <c r="J161" s="8">
        <v>1.48</v>
      </c>
      <c r="K161" s="8">
        <v>2.73</v>
      </c>
      <c r="L161" s="8">
        <f t="shared" si="14"/>
        <v>84.459459459459467</v>
      </c>
      <c r="M161" s="9">
        <v>37.4</v>
      </c>
      <c r="N161" s="9">
        <v>41.8</v>
      </c>
      <c r="O161" s="10">
        <f t="shared" si="35"/>
        <v>11.764705882352938</v>
      </c>
      <c r="P161" s="11" t="s">
        <v>31</v>
      </c>
      <c r="Q161" s="11" t="s">
        <v>31</v>
      </c>
      <c r="R161" s="33" t="s">
        <v>31</v>
      </c>
      <c r="S161" s="37">
        <f t="shared" si="29"/>
        <v>1.1702617153949575</v>
      </c>
      <c r="T161" s="37">
        <f t="shared" si="30"/>
        <v>2.9266482976130992</v>
      </c>
      <c r="U161" s="42">
        <f t="shared" si="31"/>
        <v>2.5728716022004803</v>
      </c>
      <c r="V161" s="41">
        <f t="shared" si="32"/>
        <v>2.0705810742857071</v>
      </c>
      <c r="W161" s="43" t="e">
        <f t="shared" si="33"/>
        <v>#VALUE!</v>
      </c>
      <c r="X161" s="43" t="e">
        <f t="shared" si="34"/>
        <v>#VALUE!</v>
      </c>
    </row>
    <row r="162" spans="1:24" ht="14.25" customHeight="1">
      <c r="A162" s="45" t="s">
        <v>100</v>
      </c>
      <c r="B162" s="8">
        <v>1</v>
      </c>
      <c r="C162" s="8">
        <f t="shared" si="28"/>
        <v>0.5</v>
      </c>
      <c r="D162" s="16" t="s">
        <v>42</v>
      </c>
      <c r="E162" s="16" t="s">
        <v>43</v>
      </c>
      <c r="F162" s="17" t="s">
        <v>112</v>
      </c>
      <c r="G162" s="15" t="s">
        <v>28</v>
      </c>
      <c r="H162" s="21" t="s">
        <v>29</v>
      </c>
      <c r="I162" s="21" t="s">
        <v>36</v>
      </c>
      <c r="J162" s="8">
        <v>1.9</v>
      </c>
      <c r="K162" s="8">
        <v>2.23</v>
      </c>
      <c r="L162" s="8">
        <f t="shared" si="14"/>
        <v>17.368421052631582</v>
      </c>
      <c r="M162" s="9">
        <v>73</v>
      </c>
      <c r="N162" s="9">
        <v>72</v>
      </c>
      <c r="O162" s="10">
        <f t="shared" si="35"/>
        <v>-1.3698630136986301</v>
      </c>
      <c r="P162" s="11">
        <v>5</v>
      </c>
      <c r="Q162" s="11">
        <v>3.5</v>
      </c>
      <c r="R162" s="33">
        <f>((Q162-P162)/P162)*100</f>
        <v>-30</v>
      </c>
      <c r="S162" s="37">
        <f t="shared" si="29"/>
        <v>1.2787536009528289</v>
      </c>
      <c r="T162" s="37">
        <f t="shared" si="30"/>
        <v>2.2397603389250587</v>
      </c>
      <c r="U162" s="42">
        <f t="shared" si="31"/>
        <v>2.8633228601204559</v>
      </c>
      <c r="V162" s="41" t="e">
        <f t="shared" si="32"/>
        <v>#NUM!</v>
      </c>
      <c r="W162" s="43">
        <f t="shared" si="33"/>
        <v>1.6989700043360187</v>
      </c>
      <c r="X162" s="43" t="e">
        <f t="shared" si="34"/>
        <v>#NUM!</v>
      </c>
    </row>
    <row r="163" spans="1:24" ht="14.25" customHeight="1">
      <c r="A163" s="46"/>
      <c r="B163" s="8">
        <v>0.5</v>
      </c>
      <c r="C163" s="8">
        <f t="shared" si="28"/>
        <v>0.25</v>
      </c>
      <c r="D163" s="16" t="s">
        <v>42</v>
      </c>
      <c r="E163" s="16" t="s">
        <v>43</v>
      </c>
      <c r="F163" s="17" t="s">
        <v>112</v>
      </c>
      <c r="G163" s="15" t="s">
        <v>28</v>
      </c>
      <c r="H163" s="21" t="s">
        <v>29</v>
      </c>
      <c r="I163" s="21" t="s">
        <v>36</v>
      </c>
      <c r="J163" s="8">
        <v>1.9</v>
      </c>
      <c r="K163" s="8">
        <v>2.14</v>
      </c>
      <c r="L163" s="8">
        <f t="shared" si="14"/>
        <v>12.631578947368432</v>
      </c>
      <c r="M163" s="9">
        <v>73</v>
      </c>
      <c r="N163" s="9">
        <v>72</v>
      </c>
      <c r="O163" s="10">
        <f t="shared" si="35"/>
        <v>-1.3698630136986301</v>
      </c>
      <c r="P163" s="11">
        <v>5</v>
      </c>
      <c r="Q163" s="11">
        <v>4.5</v>
      </c>
      <c r="R163" s="33">
        <f t="shared" ref="R163:R166" si="37">((Q163-P163)/P163)*100</f>
        <v>-10</v>
      </c>
      <c r="S163" s="37">
        <f t="shared" si="29"/>
        <v>1.2787536009528289</v>
      </c>
      <c r="T163" s="37">
        <f t="shared" si="30"/>
        <v>2.1014576407587775</v>
      </c>
      <c r="U163" s="42"/>
      <c r="V163" s="41" t="e">
        <f t="shared" si="32"/>
        <v>#NUM!</v>
      </c>
      <c r="W163" s="43">
        <f t="shared" si="33"/>
        <v>1.6989700043360187</v>
      </c>
      <c r="X163" s="43"/>
    </row>
    <row r="164" spans="1:24" ht="14.25" customHeight="1">
      <c r="A164" s="49"/>
      <c r="B164" s="8">
        <v>2</v>
      </c>
      <c r="C164" s="8">
        <f t="shared" si="28"/>
        <v>1</v>
      </c>
      <c r="D164" s="16" t="s">
        <v>42</v>
      </c>
      <c r="E164" s="16" t="s">
        <v>43</v>
      </c>
      <c r="F164" s="17" t="s">
        <v>112</v>
      </c>
      <c r="G164" s="15" t="s">
        <v>93</v>
      </c>
      <c r="H164" s="21" t="s">
        <v>29</v>
      </c>
      <c r="I164" s="21" t="s">
        <v>36</v>
      </c>
      <c r="J164" s="8">
        <v>1.9</v>
      </c>
      <c r="K164" s="8">
        <v>2.5499999999999998</v>
      </c>
      <c r="L164" s="8">
        <f t="shared" si="14"/>
        <v>34.210526315789465</v>
      </c>
      <c r="M164" s="9">
        <v>73</v>
      </c>
      <c r="N164" s="9">
        <v>63</v>
      </c>
      <c r="O164" s="10">
        <f t="shared" si="35"/>
        <v>-13.698630136986301</v>
      </c>
      <c r="P164" s="11">
        <v>5</v>
      </c>
      <c r="Q164" s="11">
        <v>3.5</v>
      </c>
      <c r="R164" s="33">
        <f t="shared" si="37"/>
        <v>-30</v>
      </c>
      <c r="S164" s="37">
        <f t="shared" si="29"/>
        <v>1.2787536009528289</v>
      </c>
      <c r="T164" s="37">
        <f t="shared" si="30"/>
        <v>2.5341597556900264</v>
      </c>
      <c r="U164" s="42">
        <f t="shared" si="31"/>
        <v>2.8633228601204559</v>
      </c>
      <c r="V164" s="41" t="e">
        <f t="shared" si="32"/>
        <v>#NUM!</v>
      </c>
      <c r="W164" s="43">
        <f t="shared" si="33"/>
        <v>1.6989700043360187</v>
      </c>
      <c r="X164" s="43" t="e">
        <f t="shared" si="34"/>
        <v>#NUM!</v>
      </c>
    </row>
    <row r="165" spans="1:24" ht="14.25" customHeight="1">
      <c r="A165" s="49"/>
      <c r="B165" s="8">
        <v>0.5</v>
      </c>
      <c r="C165" s="8">
        <f t="shared" si="28"/>
        <v>0.25</v>
      </c>
      <c r="D165" s="16" t="s">
        <v>42</v>
      </c>
      <c r="E165" s="16" t="s">
        <v>43</v>
      </c>
      <c r="F165" s="17" t="s">
        <v>34</v>
      </c>
      <c r="G165" s="15" t="s">
        <v>28</v>
      </c>
      <c r="H165" s="21" t="s">
        <v>29</v>
      </c>
      <c r="I165" s="21" t="s">
        <v>36</v>
      </c>
      <c r="J165" s="8">
        <v>1.9</v>
      </c>
      <c r="K165" s="8">
        <v>2.23</v>
      </c>
      <c r="L165" s="8">
        <f t="shared" si="14"/>
        <v>17.368421052631582</v>
      </c>
      <c r="M165" s="9">
        <v>73</v>
      </c>
      <c r="N165" s="9">
        <v>61</v>
      </c>
      <c r="O165" s="10">
        <f t="shared" si="35"/>
        <v>-16.43835616438356</v>
      </c>
      <c r="P165" s="11">
        <v>5</v>
      </c>
      <c r="Q165" s="11">
        <v>4.5</v>
      </c>
      <c r="R165" s="33">
        <f t="shared" si="37"/>
        <v>-10</v>
      </c>
      <c r="S165" s="37">
        <f t="shared" si="29"/>
        <v>1.2787536009528289</v>
      </c>
      <c r="T165" s="37">
        <f t="shared" si="30"/>
        <v>2.2397603389250587</v>
      </c>
      <c r="U165" s="42">
        <f t="shared" si="31"/>
        <v>2.8633228601204559</v>
      </c>
      <c r="V165" s="41" t="e">
        <f t="shared" si="32"/>
        <v>#NUM!</v>
      </c>
      <c r="W165" s="43">
        <f t="shared" si="33"/>
        <v>1.6989700043360187</v>
      </c>
      <c r="X165" s="43" t="e">
        <f t="shared" si="34"/>
        <v>#NUM!</v>
      </c>
    </row>
    <row r="166" spans="1:24" ht="14.25" customHeight="1">
      <c r="A166" s="49"/>
      <c r="B166" s="8">
        <v>1</v>
      </c>
      <c r="C166" s="8">
        <f t="shared" si="28"/>
        <v>0.5</v>
      </c>
      <c r="D166" s="16" t="s">
        <v>42</v>
      </c>
      <c r="E166" s="16" t="s">
        <v>43</v>
      </c>
      <c r="F166" s="17" t="s">
        <v>34</v>
      </c>
      <c r="G166" s="15" t="s">
        <v>28</v>
      </c>
      <c r="H166" s="21" t="s">
        <v>29</v>
      </c>
      <c r="I166" s="21" t="s">
        <v>36</v>
      </c>
      <c r="J166" s="8">
        <v>1.9</v>
      </c>
      <c r="K166" s="8">
        <v>1.74</v>
      </c>
      <c r="L166" s="8">
        <f t="shared" si="14"/>
        <v>-8.4210526315789433</v>
      </c>
      <c r="M166" s="9">
        <v>73</v>
      </c>
      <c r="N166" s="9">
        <v>63</v>
      </c>
      <c r="O166" s="10">
        <f t="shared" si="35"/>
        <v>-13.698630136986301</v>
      </c>
      <c r="P166" s="11">
        <v>5</v>
      </c>
      <c r="Q166" s="11">
        <v>4</v>
      </c>
      <c r="R166" s="33">
        <f t="shared" si="37"/>
        <v>-20</v>
      </c>
      <c r="S166" s="37">
        <f t="shared" si="29"/>
        <v>1.2787536009528289</v>
      </c>
      <c r="T166" s="37" t="e">
        <f t="shared" si="30"/>
        <v>#NUM!</v>
      </c>
      <c r="U166" s="42">
        <f t="shared" si="31"/>
        <v>2.8633228601204559</v>
      </c>
      <c r="V166" s="41" t="e">
        <f t="shared" si="32"/>
        <v>#NUM!</v>
      </c>
      <c r="W166" s="43">
        <f t="shared" si="33"/>
        <v>1.6989700043360187</v>
      </c>
      <c r="X166" s="43" t="e">
        <f t="shared" si="34"/>
        <v>#NUM!</v>
      </c>
    </row>
    <row r="167" spans="1:24" ht="14.25" customHeight="1">
      <c r="A167" s="50"/>
      <c r="B167" s="8">
        <v>2</v>
      </c>
      <c r="C167" s="8">
        <f t="shared" si="28"/>
        <v>1</v>
      </c>
      <c r="D167" s="16" t="s">
        <v>42</v>
      </c>
      <c r="E167" s="16" t="s">
        <v>43</v>
      </c>
      <c r="F167" s="17" t="s">
        <v>34</v>
      </c>
      <c r="G167" s="15" t="s">
        <v>93</v>
      </c>
      <c r="H167" s="21" t="s">
        <v>29</v>
      </c>
      <c r="I167" s="21" t="s">
        <v>36</v>
      </c>
      <c r="J167" s="8">
        <v>1.9</v>
      </c>
      <c r="K167" s="8">
        <v>2.34</v>
      </c>
      <c r="L167" s="8">
        <f t="shared" si="14"/>
        <v>23.157894736842103</v>
      </c>
      <c r="M167" s="9">
        <v>73</v>
      </c>
      <c r="N167" s="9">
        <v>64</v>
      </c>
      <c r="O167" s="10">
        <f>(N167-M167)/M167*100</f>
        <v>-12.328767123287671</v>
      </c>
      <c r="P167" s="11">
        <v>5</v>
      </c>
      <c r="Q167" s="11">
        <v>4</v>
      </c>
      <c r="R167" s="33">
        <f>((Q167-P167)/P167)*100</f>
        <v>-20</v>
      </c>
      <c r="S167" s="37">
        <f t="shared" si="29"/>
        <v>1.2787536009528289</v>
      </c>
      <c r="T167" s="37">
        <f t="shared" si="30"/>
        <v>2.3646990755333586</v>
      </c>
      <c r="U167" s="42">
        <f t="shared" si="31"/>
        <v>2.8633228601204559</v>
      </c>
      <c r="V167" s="41" t="e">
        <f t="shared" si="32"/>
        <v>#NUM!</v>
      </c>
      <c r="W167" s="43">
        <f t="shared" si="33"/>
        <v>1.6989700043360187</v>
      </c>
      <c r="X167" s="43" t="e">
        <f t="shared" si="34"/>
        <v>#NUM!</v>
      </c>
    </row>
    <row r="168" spans="1:24" ht="14.25" customHeight="1">
      <c r="A168" s="45" t="s">
        <v>101</v>
      </c>
      <c r="B168" s="8">
        <v>1</v>
      </c>
      <c r="C168" s="8">
        <f t="shared" si="28"/>
        <v>0.5</v>
      </c>
      <c r="D168" s="16" t="s">
        <v>42</v>
      </c>
      <c r="E168" s="16" t="s">
        <v>68</v>
      </c>
      <c r="F168" s="17" t="s">
        <v>34</v>
      </c>
      <c r="G168" s="15" t="s">
        <v>28</v>
      </c>
      <c r="H168" s="17" t="s">
        <v>29</v>
      </c>
      <c r="I168" s="21" t="s">
        <v>36</v>
      </c>
      <c r="J168" s="8">
        <v>0.216</v>
      </c>
      <c r="K168" s="8">
        <v>0.20100000000000001</v>
      </c>
      <c r="L168" s="8">
        <f t="shared" si="14"/>
        <v>-6.9444444444444375</v>
      </c>
      <c r="M168" s="9" t="s">
        <v>31</v>
      </c>
      <c r="N168" s="9" t="s">
        <v>31</v>
      </c>
      <c r="O168" s="10" t="s">
        <v>31</v>
      </c>
      <c r="P168" s="11" t="s">
        <v>31</v>
      </c>
      <c r="Q168" s="11" t="s">
        <v>31</v>
      </c>
      <c r="R168" s="33" t="s">
        <v>31</v>
      </c>
      <c r="S168" s="37">
        <f t="shared" si="29"/>
        <v>0.3344537511509309</v>
      </c>
      <c r="T168" s="37" t="e">
        <f t="shared" si="30"/>
        <v>#NUM!</v>
      </c>
      <c r="U168" s="42" t="e">
        <f>LOG10(M168*10)</f>
        <v>#VALUE!</v>
      </c>
      <c r="V168" s="41" t="e">
        <f>LOG10(O168*10)</f>
        <v>#VALUE!</v>
      </c>
      <c r="W168" s="43" t="e">
        <f>LOG10(P168*10)</f>
        <v>#VALUE!</v>
      </c>
      <c r="X168" s="43" t="e">
        <f>LOG10(R168*10)</f>
        <v>#VALUE!</v>
      </c>
    </row>
    <row r="169" spans="1:24" ht="14.25" customHeight="1">
      <c r="A169" s="57"/>
      <c r="B169" s="8">
        <v>3</v>
      </c>
      <c r="C169" s="8">
        <f t="shared" si="28"/>
        <v>1.5</v>
      </c>
      <c r="D169" s="16" t="s">
        <v>42</v>
      </c>
      <c r="E169" s="16" t="s">
        <v>68</v>
      </c>
      <c r="F169" s="17" t="s">
        <v>34</v>
      </c>
      <c r="G169" s="15" t="s">
        <v>37</v>
      </c>
      <c r="H169" s="17" t="s">
        <v>29</v>
      </c>
      <c r="I169" s="21" t="s">
        <v>36</v>
      </c>
      <c r="J169" s="8">
        <v>0.216</v>
      </c>
      <c r="K169" s="8">
        <v>0.19700000000000001</v>
      </c>
      <c r="L169" s="8">
        <f t="shared" si="14"/>
        <v>-8.7962962962962905</v>
      </c>
      <c r="M169" s="9" t="s">
        <v>31</v>
      </c>
      <c r="N169" s="9" t="s">
        <v>31</v>
      </c>
      <c r="O169" s="10" t="s">
        <v>31</v>
      </c>
      <c r="P169" s="11" t="s">
        <v>31</v>
      </c>
      <c r="Q169" s="11" t="s">
        <v>31</v>
      </c>
      <c r="R169" s="33" t="s">
        <v>31</v>
      </c>
      <c r="S169" s="37">
        <f t="shared" si="29"/>
        <v>0.3344537511509309</v>
      </c>
      <c r="T169" s="37" t="e">
        <f t="shared" si="30"/>
        <v>#NUM!</v>
      </c>
      <c r="U169" s="42" t="e">
        <f t="shared" si="31"/>
        <v>#VALUE!</v>
      </c>
      <c r="V169" s="41" t="e">
        <f t="shared" si="32"/>
        <v>#VALUE!</v>
      </c>
      <c r="W169" s="43" t="e">
        <f t="shared" si="33"/>
        <v>#VALUE!</v>
      </c>
      <c r="X169" s="43" t="e">
        <f t="shared" si="34"/>
        <v>#VALUE!</v>
      </c>
    </row>
    <row r="170" spans="1:24" ht="14.25" customHeight="1">
      <c r="A170" s="57"/>
      <c r="B170" s="8">
        <v>5</v>
      </c>
      <c r="C170" s="8">
        <f t="shared" si="28"/>
        <v>2.5</v>
      </c>
      <c r="D170" s="16" t="s">
        <v>42</v>
      </c>
      <c r="E170" s="16" t="s">
        <v>68</v>
      </c>
      <c r="F170" s="17" t="s">
        <v>34</v>
      </c>
      <c r="G170" s="15" t="s">
        <v>37</v>
      </c>
      <c r="H170" s="17" t="s">
        <v>29</v>
      </c>
      <c r="I170" s="21" t="s">
        <v>36</v>
      </c>
      <c r="J170" s="8">
        <v>0.216</v>
      </c>
      <c r="K170" s="8">
        <v>0.20699999999999999</v>
      </c>
      <c r="L170" s="8">
        <f t="shared" si="14"/>
        <v>-4.1666666666666705</v>
      </c>
      <c r="M170" s="9" t="s">
        <v>31</v>
      </c>
      <c r="N170" s="9" t="s">
        <v>31</v>
      </c>
      <c r="O170" s="10" t="s">
        <v>31</v>
      </c>
      <c r="P170" s="11" t="s">
        <v>31</v>
      </c>
      <c r="Q170" s="11" t="s">
        <v>31</v>
      </c>
      <c r="R170" s="33" t="s">
        <v>31</v>
      </c>
      <c r="S170" s="37">
        <f t="shared" si="29"/>
        <v>0.3344537511509309</v>
      </c>
      <c r="T170" s="37" t="e">
        <f t="shared" si="30"/>
        <v>#NUM!</v>
      </c>
      <c r="U170" s="42" t="e">
        <f t="shared" si="31"/>
        <v>#VALUE!</v>
      </c>
      <c r="V170" s="41" t="e">
        <f t="shared" si="32"/>
        <v>#VALUE!</v>
      </c>
      <c r="W170" s="43" t="e">
        <f t="shared" si="33"/>
        <v>#VALUE!</v>
      </c>
      <c r="X170" s="43" t="e">
        <f t="shared" si="34"/>
        <v>#VALUE!</v>
      </c>
    </row>
    <row r="171" spans="1:24" ht="14.25" customHeight="1">
      <c r="A171" s="57"/>
      <c r="B171" s="8">
        <v>10</v>
      </c>
      <c r="C171" s="8">
        <f t="shared" si="28"/>
        <v>5</v>
      </c>
      <c r="D171" s="16" t="s">
        <v>42</v>
      </c>
      <c r="E171" s="16" t="s">
        <v>68</v>
      </c>
      <c r="F171" s="17" t="s">
        <v>34</v>
      </c>
      <c r="G171" s="15" t="s">
        <v>78</v>
      </c>
      <c r="H171" s="17" t="s">
        <v>29</v>
      </c>
      <c r="I171" s="21" t="s">
        <v>36</v>
      </c>
      <c r="J171" s="8">
        <v>0.216</v>
      </c>
      <c r="K171" s="8">
        <v>0.23799999999999999</v>
      </c>
      <c r="L171" s="8">
        <f t="shared" si="14"/>
        <v>10.185185185185182</v>
      </c>
      <c r="M171" s="9" t="s">
        <v>31</v>
      </c>
      <c r="N171" s="9" t="s">
        <v>31</v>
      </c>
      <c r="O171" s="10" t="s">
        <v>31</v>
      </c>
      <c r="P171" s="11" t="s">
        <v>31</v>
      </c>
      <c r="Q171" s="11" t="s">
        <v>31</v>
      </c>
      <c r="R171" s="33" t="s">
        <v>31</v>
      </c>
      <c r="S171" s="37">
        <f t="shared" si="29"/>
        <v>0.3344537511509309</v>
      </c>
      <c r="T171" s="37">
        <f t="shared" si="30"/>
        <v>2.007968929671275</v>
      </c>
      <c r="U171" s="42" t="e">
        <f t="shared" si="31"/>
        <v>#VALUE!</v>
      </c>
      <c r="V171" s="41" t="e">
        <f t="shared" si="32"/>
        <v>#VALUE!</v>
      </c>
      <c r="W171" s="43" t="e">
        <f t="shared" si="33"/>
        <v>#VALUE!</v>
      </c>
      <c r="X171" s="43" t="e">
        <f t="shared" si="34"/>
        <v>#VALUE!</v>
      </c>
    </row>
    <row r="172" spans="1:24" ht="14.25" customHeight="1">
      <c r="A172" s="57"/>
      <c r="B172" s="8">
        <v>1</v>
      </c>
      <c r="C172" s="8">
        <f t="shared" si="28"/>
        <v>0.5</v>
      </c>
      <c r="D172" s="16" t="s">
        <v>42</v>
      </c>
      <c r="E172" s="16" t="s">
        <v>68</v>
      </c>
      <c r="F172" s="17" t="s">
        <v>34</v>
      </c>
      <c r="G172" s="15" t="s">
        <v>28</v>
      </c>
      <c r="H172" s="17" t="s">
        <v>29</v>
      </c>
      <c r="I172" s="21" t="s">
        <v>36</v>
      </c>
      <c r="J172" s="8">
        <v>0.216</v>
      </c>
      <c r="K172" s="8">
        <v>0.26200000000000001</v>
      </c>
      <c r="L172" s="8">
        <f t="shared" si="14"/>
        <v>21.296296296296301</v>
      </c>
      <c r="M172" s="9" t="s">
        <v>31</v>
      </c>
      <c r="N172" s="9" t="s">
        <v>31</v>
      </c>
      <c r="O172" s="10" t="s">
        <v>31</v>
      </c>
      <c r="P172" s="11" t="s">
        <v>31</v>
      </c>
      <c r="Q172" s="11" t="s">
        <v>31</v>
      </c>
      <c r="R172" s="33" t="s">
        <v>31</v>
      </c>
      <c r="S172" s="37">
        <f t="shared" si="29"/>
        <v>0.3344537511509309</v>
      </c>
      <c r="T172" s="37">
        <f t="shared" si="30"/>
        <v>2.3283040805306432</v>
      </c>
      <c r="U172" s="42" t="e">
        <f t="shared" si="31"/>
        <v>#VALUE!</v>
      </c>
      <c r="V172" s="41" t="e">
        <f t="shared" si="32"/>
        <v>#VALUE!</v>
      </c>
      <c r="W172" s="43" t="e">
        <f t="shared" si="33"/>
        <v>#VALUE!</v>
      </c>
      <c r="X172" s="43" t="e">
        <f t="shared" si="34"/>
        <v>#VALUE!</v>
      </c>
    </row>
    <row r="173" spans="1:24" ht="14.25" customHeight="1">
      <c r="A173" s="57"/>
      <c r="B173" s="8">
        <v>3</v>
      </c>
      <c r="C173" s="8">
        <f t="shared" si="28"/>
        <v>1.5</v>
      </c>
      <c r="D173" s="16" t="s">
        <v>42</v>
      </c>
      <c r="E173" s="16" t="s">
        <v>68</v>
      </c>
      <c r="F173" s="17" t="s">
        <v>34</v>
      </c>
      <c r="G173" s="15" t="s">
        <v>37</v>
      </c>
      <c r="H173" s="17" t="s">
        <v>29</v>
      </c>
      <c r="I173" s="21" t="s">
        <v>36</v>
      </c>
      <c r="J173" s="8">
        <v>0.216</v>
      </c>
      <c r="K173" s="8">
        <v>0.28199999999999997</v>
      </c>
      <c r="L173" s="8">
        <f t="shared" si="14"/>
        <v>30.555555555555546</v>
      </c>
      <c r="M173" s="9" t="s">
        <v>31</v>
      </c>
      <c r="N173" s="9" t="s">
        <v>31</v>
      </c>
      <c r="O173" s="10" t="s">
        <v>31</v>
      </c>
      <c r="P173" s="11" t="s">
        <v>31</v>
      </c>
      <c r="Q173" s="11" t="s">
        <v>31</v>
      </c>
      <c r="R173" s="33" t="s">
        <v>31</v>
      </c>
      <c r="S173" s="37">
        <f t="shared" si="29"/>
        <v>0.3344537511509309</v>
      </c>
      <c r="T173" s="37">
        <f t="shared" si="30"/>
        <v>2.4850901843909377</v>
      </c>
      <c r="U173" s="42" t="e">
        <f t="shared" si="31"/>
        <v>#VALUE!</v>
      </c>
      <c r="V173" s="41" t="e">
        <f t="shared" si="32"/>
        <v>#VALUE!</v>
      </c>
      <c r="W173" s="43" t="e">
        <f t="shared" si="33"/>
        <v>#VALUE!</v>
      </c>
      <c r="X173" s="43" t="e">
        <f t="shared" si="34"/>
        <v>#VALUE!</v>
      </c>
    </row>
    <row r="174" spans="1:24" ht="14.25" customHeight="1">
      <c r="A174" s="57"/>
      <c r="B174" s="8">
        <v>5</v>
      </c>
      <c r="C174" s="8">
        <f t="shared" si="28"/>
        <v>2.5</v>
      </c>
      <c r="D174" s="16" t="s">
        <v>42</v>
      </c>
      <c r="E174" s="16" t="s">
        <v>68</v>
      </c>
      <c r="F174" s="17" t="s">
        <v>34</v>
      </c>
      <c r="G174" s="15" t="s">
        <v>37</v>
      </c>
      <c r="H174" s="17" t="s">
        <v>29</v>
      </c>
      <c r="I174" s="21" t="s">
        <v>36</v>
      </c>
      <c r="J174" s="8">
        <v>0.216</v>
      </c>
      <c r="K174" s="8">
        <v>0.307</v>
      </c>
      <c r="L174" s="8">
        <f t="shared" si="14"/>
        <v>42.129629629629626</v>
      </c>
      <c r="M174" s="9" t="s">
        <v>31</v>
      </c>
      <c r="N174" s="9" t="s">
        <v>31</v>
      </c>
      <c r="O174" s="10" t="s">
        <v>31</v>
      </c>
      <c r="P174" s="11" t="s">
        <v>31</v>
      </c>
      <c r="Q174" s="11" t="s">
        <v>31</v>
      </c>
      <c r="R174" s="33" t="s">
        <v>31</v>
      </c>
      <c r="S174" s="37">
        <f t="shared" si="29"/>
        <v>0.3344537511509309</v>
      </c>
      <c r="T174" s="37">
        <f t="shared" si="30"/>
        <v>2.6245876411701627</v>
      </c>
      <c r="U174" s="42" t="e">
        <f t="shared" si="31"/>
        <v>#VALUE!</v>
      </c>
      <c r="V174" s="41" t="e">
        <f t="shared" si="32"/>
        <v>#VALUE!</v>
      </c>
      <c r="W174" s="43" t="e">
        <f t="shared" si="33"/>
        <v>#VALUE!</v>
      </c>
      <c r="X174" s="43" t="e">
        <f t="shared" si="34"/>
        <v>#VALUE!</v>
      </c>
    </row>
    <row r="175" spans="1:24" ht="14.25" customHeight="1">
      <c r="A175" s="57"/>
      <c r="B175" s="8">
        <v>10</v>
      </c>
      <c r="C175" s="8">
        <f t="shared" si="28"/>
        <v>5</v>
      </c>
      <c r="D175" s="16" t="s">
        <v>42</v>
      </c>
      <c r="E175" s="16" t="s">
        <v>68</v>
      </c>
      <c r="F175" s="17" t="s">
        <v>34</v>
      </c>
      <c r="G175" s="15" t="s">
        <v>78</v>
      </c>
      <c r="H175" s="17" t="s">
        <v>29</v>
      </c>
      <c r="I175" s="21" t="s">
        <v>36</v>
      </c>
      <c r="J175" s="8">
        <v>0.216</v>
      </c>
      <c r="K175" s="8">
        <v>0.371</v>
      </c>
      <c r="L175" s="8">
        <f t="shared" si="14"/>
        <v>71.759259259259252</v>
      </c>
      <c r="M175" s="9" t="s">
        <v>31</v>
      </c>
      <c r="N175" s="9" t="s">
        <v>31</v>
      </c>
      <c r="O175" s="10" t="s">
        <v>31</v>
      </c>
      <c r="P175" s="11" t="s">
        <v>31</v>
      </c>
      <c r="Q175" s="11" t="s">
        <v>31</v>
      </c>
      <c r="R175" s="33" t="s">
        <v>31</v>
      </c>
      <c r="S175" s="37">
        <f t="shared" si="29"/>
        <v>0.3344537511509309</v>
      </c>
      <c r="T175" s="37">
        <f t="shared" si="30"/>
        <v>2.8558779470193607</v>
      </c>
      <c r="U175" s="42" t="e">
        <f t="shared" si="31"/>
        <v>#VALUE!</v>
      </c>
      <c r="V175" s="41" t="e">
        <f t="shared" si="32"/>
        <v>#VALUE!</v>
      </c>
      <c r="W175" s="43" t="e">
        <f t="shared" si="33"/>
        <v>#VALUE!</v>
      </c>
      <c r="X175" s="43" t="e">
        <f t="shared" si="34"/>
        <v>#VALUE!</v>
      </c>
    </row>
    <row r="176" spans="1:24" ht="14.25" customHeight="1">
      <c r="A176" s="57"/>
      <c r="B176" s="8">
        <v>1</v>
      </c>
      <c r="C176" s="8">
        <f t="shared" si="28"/>
        <v>0.5</v>
      </c>
      <c r="D176" s="16" t="s">
        <v>42</v>
      </c>
      <c r="E176" s="16" t="s">
        <v>68</v>
      </c>
      <c r="F176" s="17" t="s">
        <v>34</v>
      </c>
      <c r="G176" s="15" t="s">
        <v>28</v>
      </c>
      <c r="H176" s="17" t="s">
        <v>29</v>
      </c>
      <c r="I176" s="21" t="s">
        <v>36</v>
      </c>
      <c r="J176" s="8">
        <v>0.216</v>
      </c>
      <c r="K176" s="8">
        <v>0.25900000000000001</v>
      </c>
      <c r="L176" s="8">
        <f t="shared" si="14"/>
        <v>19.907407407407412</v>
      </c>
      <c r="M176" s="9" t="s">
        <v>31</v>
      </c>
      <c r="N176" s="9" t="s">
        <v>31</v>
      </c>
      <c r="O176" s="10" t="s">
        <v>31</v>
      </c>
      <c r="P176" s="11" t="s">
        <v>31</v>
      </c>
      <c r="Q176" s="11" t="s">
        <v>31</v>
      </c>
      <c r="R176" s="33" t="s">
        <v>31</v>
      </c>
      <c r="S176" s="37">
        <f t="shared" si="29"/>
        <v>0.3344537511509309</v>
      </c>
      <c r="T176" s="37">
        <f t="shared" si="30"/>
        <v>2.299014704428656</v>
      </c>
      <c r="U176" s="42" t="e">
        <f t="shared" si="31"/>
        <v>#VALUE!</v>
      </c>
      <c r="V176" s="41" t="e">
        <f t="shared" si="32"/>
        <v>#VALUE!</v>
      </c>
      <c r="W176" s="43" t="e">
        <f t="shared" si="33"/>
        <v>#VALUE!</v>
      </c>
      <c r="X176" s="43" t="e">
        <f t="shared" si="34"/>
        <v>#VALUE!</v>
      </c>
    </row>
    <row r="177" spans="1:24" ht="14.25" customHeight="1">
      <c r="A177" s="57"/>
      <c r="B177" s="8">
        <v>3</v>
      </c>
      <c r="C177" s="8">
        <f t="shared" si="28"/>
        <v>1.5</v>
      </c>
      <c r="D177" s="16" t="s">
        <v>42</v>
      </c>
      <c r="E177" s="16" t="s">
        <v>68</v>
      </c>
      <c r="F177" s="17" t="s">
        <v>34</v>
      </c>
      <c r="G177" s="15" t="s">
        <v>37</v>
      </c>
      <c r="H177" s="17" t="s">
        <v>29</v>
      </c>
      <c r="I177" s="21" t="s">
        <v>36</v>
      </c>
      <c r="J177" s="8">
        <v>0.216</v>
      </c>
      <c r="K177" s="8">
        <v>0.27200000000000002</v>
      </c>
      <c r="L177" s="8">
        <f t="shared" si="14"/>
        <v>25.925925925925934</v>
      </c>
      <c r="M177" s="9" t="s">
        <v>31</v>
      </c>
      <c r="N177" s="9" t="s">
        <v>31</v>
      </c>
      <c r="O177" s="10" t="s">
        <v>31</v>
      </c>
      <c r="P177" s="11" t="s">
        <v>31</v>
      </c>
      <c r="Q177" s="11" t="s">
        <v>31</v>
      </c>
      <c r="R177" s="33" t="s">
        <v>31</v>
      </c>
      <c r="S177" s="37">
        <f t="shared" si="29"/>
        <v>0.3344537511509309</v>
      </c>
      <c r="T177" s="37">
        <f t="shared" si="30"/>
        <v>2.4137342758552696</v>
      </c>
      <c r="U177" s="42" t="e">
        <f t="shared" si="31"/>
        <v>#VALUE!</v>
      </c>
      <c r="V177" s="41" t="e">
        <f t="shared" si="32"/>
        <v>#VALUE!</v>
      </c>
      <c r="W177" s="43" t="e">
        <f t="shared" si="33"/>
        <v>#VALUE!</v>
      </c>
      <c r="X177" s="43" t="e">
        <f t="shared" si="34"/>
        <v>#VALUE!</v>
      </c>
    </row>
    <row r="178" spans="1:24" ht="14.25" customHeight="1">
      <c r="A178" s="57"/>
      <c r="B178" s="8">
        <v>5</v>
      </c>
      <c r="C178" s="8">
        <f t="shared" si="28"/>
        <v>2.5</v>
      </c>
      <c r="D178" s="16" t="s">
        <v>42</v>
      </c>
      <c r="E178" s="16" t="s">
        <v>68</v>
      </c>
      <c r="F178" s="17" t="s">
        <v>34</v>
      </c>
      <c r="G178" s="15" t="s">
        <v>37</v>
      </c>
      <c r="H178" s="17" t="s">
        <v>29</v>
      </c>
      <c r="I178" s="21" t="s">
        <v>36</v>
      </c>
      <c r="J178" s="8">
        <v>0.216</v>
      </c>
      <c r="K178" s="8">
        <v>0.313</v>
      </c>
      <c r="L178" s="8">
        <f t="shared" si="14"/>
        <v>44.907407407407405</v>
      </c>
      <c r="M178" s="9" t="s">
        <v>31</v>
      </c>
      <c r="N178" s="9" t="s">
        <v>31</v>
      </c>
      <c r="O178" s="10" t="s">
        <v>31</v>
      </c>
      <c r="P178" s="11" t="s">
        <v>31</v>
      </c>
      <c r="Q178" s="11" t="s">
        <v>31</v>
      </c>
      <c r="R178" s="33" t="s">
        <v>31</v>
      </c>
      <c r="S178" s="37">
        <f t="shared" si="29"/>
        <v>0.3344537511509309</v>
      </c>
      <c r="T178" s="37">
        <f t="shared" si="30"/>
        <v>2.6523179831153141</v>
      </c>
      <c r="U178" s="42" t="e">
        <f t="shared" si="31"/>
        <v>#VALUE!</v>
      </c>
      <c r="V178" s="41" t="e">
        <f t="shared" si="32"/>
        <v>#VALUE!</v>
      </c>
      <c r="W178" s="43" t="e">
        <f t="shared" si="33"/>
        <v>#VALUE!</v>
      </c>
      <c r="X178" s="43" t="e">
        <f t="shared" si="34"/>
        <v>#VALUE!</v>
      </c>
    </row>
    <row r="179" spans="1:24" ht="14.25" customHeight="1">
      <c r="A179" s="58"/>
      <c r="B179" s="8">
        <v>10</v>
      </c>
      <c r="C179" s="8">
        <f t="shared" si="28"/>
        <v>5</v>
      </c>
      <c r="D179" s="16" t="s">
        <v>42</v>
      </c>
      <c r="E179" s="16" t="s">
        <v>68</v>
      </c>
      <c r="F179" s="17" t="s">
        <v>34</v>
      </c>
      <c r="G179" s="15" t="s">
        <v>78</v>
      </c>
      <c r="H179" s="17" t="s">
        <v>29</v>
      </c>
      <c r="I179" s="21" t="s">
        <v>36</v>
      </c>
      <c r="J179" s="8">
        <v>0.216</v>
      </c>
      <c r="K179" s="8">
        <v>0.39900000000000002</v>
      </c>
      <c r="L179" s="8">
        <f t="shared" si="14"/>
        <v>84.722222222222229</v>
      </c>
      <c r="M179" s="9" t="s">
        <v>31</v>
      </c>
      <c r="N179" s="9" t="s">
        <v>31</v>
      </c>
      <c r="O179" s="10" t="s">
        <v>31</v>
      </c>
      <c r="P179" s="11" t="s">
        <v>31</v>
      </c>
      <c r="Q179" s="11" t="s">
        <v>31</v>
      </c>
      <c r="R179" s="33" t="s">
        <v>31</v>
      </c>
      <c r="S179" s="37">
        <f t="shared" si="29"/>
        <v>0.3344537511509309</v>
      </c>
      <c r="T179" s="37">
        <f t="shared" si="30"/>
        <v>2.9279973385794986</v>
      </c>
      <c r="U179" s="42" t="e">
        <f>LOG10(M179*10)</f>
        <v>#VALUE!</v>
      </c>
      <c r="V179" s="41" t="e">
        <f>LOG10(O179*10)</f>
        <v>#VALUE!</v>
      </c>
      <c r="W179" s="43" t="e">
        <f>LOG10(P179*10)</f>
        <v>#VALUE!</v>
      </c>
      <c r="X179" s="43" t="e">
        <f>LOG10(R179*10)</f>
        <v>#VALUE!</v>
      </c>
    </row>
    <row r="180" spans="1:24" ht="14.25" customHeight="1">
      <c r="A180" s="45" t="s">
        <v>102</v>
      </c>
      <c r="B180" s="8">
        <v>1</v>
      </c>
      <c r="C180" s="8">
        <f t="shared" si="28"/>
        <v>0.5</v>
      </c>
      <c r="D180" s="16" t="s">
        <v>42</v>
      </c>
      <c r="E180" s="16" t="s">
        <v>43</v>
      </c>
      <c r="F180" s="17" t="s">
        <v>34</v>
      </c>
      <c r="G180" s="15" t="s">
        <v>28</v>
      </c>
      <c r="H180" s="17" t="s">
        <v>29</v>
      </c>
      <c r="I180" s="21" t="s">
        <v>36</v>
      </c>
      <c r="J180" s="8">
        <v>0.12</v>
      </c>
      <c r="K180" s="8">
        <v>0.16200000000000001</v>
      </c>
      <c r="L180" s="8">
        <f t="shared" si="14"/>
        <v>35.000000000000007</v>
      </c>
      <c r="M180" s="9">
        <v>0.12</v>
      </c>
      <c r="N180" s="9">
        <v>0.16200000000000001</v>
      </c>
      <c r="O180" s="10">
        <f>(N180-M180)/M180*100</f>
        <v>35.000000000000007</v>
      </c>
      <c r="P180" s="11" t="s">
        <v>31</v>
      </c>
      <c r="Q180" s="11" t="s">
        <v>31</v>
      </c>
      <c r="R180" s="33" t="s">
        <v>31</v>
      </c>
      <c r="S180" s="37">
        <f t="shared" si="29"/>
        <v>7.9181246047624818E-2</v>
      </c>
      <c r="T180" s="37">
        <f t="shared" si="30"/>
        <v>2.5440680443502757</v>
      </c>
      <c r="U180" s="42">
        <f t="shared" si="31"/>
        <v>7.9181246047624818E-2</v>
      </c>
      <c r="V180" s="41">
        <f t="shared" si="32"/>
        <v>2.5440680443502757</v>
      </c>
      <c r="W180" s="43" t="e">
        <f t="shared" si="33"/>
        <v>#VALUE!</v>
      </c>
      <c r="X180" s="43" t="e">
        <f t="shared" si="34"/>
        <v>#VALUE!</v>
      </c>
    </row>
    <row r="181" spans="1:24" ht="14.25" customHeight="1">
      <c r="A181" s="57"/>
      <c r="B181" s="8">
        <v>1</v>
      </c>
      <c r="C181" s="8">
        <f t="shared" si="28"/>
        <v>0.5</v>
      </c>
      <c r="D181" s="16" t="s">
        <v>42</v>
      </c>
      <c r="E181" s="16" t="s">
        <v>43</v>
      </c>
      <c r="F181" s="17" t="s">
        <v>34</v>
      </c>
      <c r="G181" s="15" t="s">
        <v>28</v>
      </c>
      <c r="H181" s="17" t="s">
        <v>29</v>
      </c>
      <c r="I181" s="21" t="s">
        <v>36</v>
      </c>
      <c r="J181" s="8">
        <v>0.12</v>
      </c>
      <c r="K181" s="8">
        <v>0.17199999999999999</v>
      </c>
      <c r="L181" s="8">
        <f t="shared" si="14"/>
        <v>43.333333333333329</v>
      </c>
      <c r="M181" s="9">
        <v>0.12</v>
      </c>
      <c r="N181" s="9">
        <v>0.17199999999999999</v>
      </c>
      <c r="O181" s="10">
        <f t="shared" ref="O181:O196" si="38">(N181-M181)/M181*100</f>
        <v>43.333333333333329</v>
      </c>
      <c r="P181" s="11" t="s">
        <v>31</v>
      </c>
      <c r="Q181" s="11" t="s">
        <v>31</v>
      </c>
      <c r="R181" s="33" t="s">
        <v>31</v>
      </c>
      <c r="S181" s="37">
        <f t="shared" si="29"/>
        <v>7.9181246047624818E-2</v>
      </c>
      <c r="T181" s="37">
        <f t="shared" si="30"/>
        <v>2.6368220975871743</v>
      </c>
      <c r="U181" s="42">
        <f t="shared" si="31"/>
        <v>7.9181246047624818E-2</v>
      </c>
      <c r="V181" s="41">
        <f t="shared" si="32"/>
        <v>2.6368220975871743</v>
      </c>
      <c r="W181" s="43" t="e">
        <f t="shared" si="33"/>
        <v>#VALUE!</v>
      </c>
      <c r="X181" s="43" t="e">
        <f t="shared" si="34"/>
        <v>#VALUE!</v>
      </c>
    </row>
    <row r="182" spans="1:24" ht="14.25" customHeight="1">
      <c r="A182" s="57"/>
      <c r="B182" s="8">
        <v>2</v>
      </c>
      <c r="C182" s="8">
        <f t="shared" si="28"/>
        <v>1</v>
      </c>
      <c r="D182" s="16" t="s">
        <v>42</v>
      </c>
      <c r="E182" s="16" t="s">
        <v>43</v>
      </c>
      <c r="F182" s="17" t="s">
        <v>34</v>
      </c>
      <c r="G182" s="15" t="s">
        <v>37</v>
      </c>
      <c r="H182" s="17" t="s">
        <v>29</v>
      </c>
      <c r="I182" s="21" t="s">
        <v>36</v>
      </c>
      <c r="J182" s="8">
        <v>0.12</v>
      </c>
      <c r="K182" s="8">
        <v>0.16900000000000001</v>
      </c>
      <c r="L182" s="8">
        <f t="shared" si="14"/>
        <v>40.83333333333335</v>
      </c>
      <c r="M182" s="9">
        <v>0.12</v>
      </c>
      <c r="N182" s="9">
        <v>0.16900000000000001</v>
      </c>
      <c r="O182" s="10">
        <f t="shared" si="38"/>
        <v>40.83333333333335</v>
      </c>
      <c r="P182" s="11" t="s">
        <v>31</v>
      </c>
      <c r="Q182" s="11" t="s">
        <v>31</v>
      </c>
      <c r="R182" s="33" t="s">
        <v>31</v>
      </c>
      <c r="S182" s="37">
        <f t="shared" si="29"/>
        <v>7.9181246047624818E-2</v>
      </c>
      <c r="T182" s="37">
        <f t="shared" si="30"/>
        <v>2.6110148339808892</v>
      </c>
      <c r="U182" s="42">
        <f t="shared" si="31"/>
        <v>7.9181246047624818E-2</v>
      </c>
      <c r="V182" s="41">
        <f t="shared" si="32"/>
        <v>2.6110148339808892</v>
      </c>
      <c r="W182" s="43" t="e">
        <f t="shared" si="33"/>
        <v>#VALUE!</v>
      </c>
      <c r="X182" s="43" t="e">
        <f t="shared" si="34"/>
        <v>#VALUE!</v>
      </c>
    </row>
    <row r="183" spans="1:24" ht="14.25" customHeight="1">
      <c r="A183" s="57"/>
      <c r="B183" s="8">
        <v>2</v>
      </c>
      <c r="C183" s="8">
        <f t="shared" si="28"/>
        <v>1</v>
      </c>
      <c r="D183" s="16" t="s">
        <v>42</v>
      </c>
      <c r="E183" s="16" t="s">
        <v>43</v>
      </c>
      <c r="F183" s="17" t="s">
        <v>34</v>
      </c>
      <c r="G183" s="15" t="s">
        <v>37</v>
      </c>
      <c r="H183" s="17" t="s">
        <v>29</v>
      </c>
      <c r="I183" s="21" t="s">
        <v>36</v>
      </c>
      <c r="J183" s="8">
        <v>0.12</v>
      </c>
      <c r="K183" s="8">
        <v>0.183</v>
      </c>
      <c r="L183" s="8">
        <f t="shared" si="14"/>
        <v>52.5</v>
      </c>
      <c r="M183" s="9">
        <v>0.12</v>
      </c>
      <c r="N183" s="9">
        <v>0.183</v>
      </c>
      <c r="O183" s="10">
        <f t="shared" si="38"/>
        <v>52.5</v>
      </c>
      <c r="P183" s="11" t="s">
        <v>31</v>
      </c>
      <c r="Q183" s="11" t="s">
        <v>31</v>
      </c>
      <c r="R183" s="33" t="s">
        <v>31</v>
      </c>
      <c r="S183" s="37">
        <f t="shared" si="29"/>
        <v>7.9181246047624818E-2</v>
      </c>
      <c r="T183" s="37">
        <f t="shared" si="30"/>
        <v>2.720159303405957</v>
      </c>
      <c r="U183" s="42">
        <f t="shared" si="31"/>
        <v>7.9181246047624818E-2</v>
      </c>
      <c r="V183" s="41">
        <f t="shared" si="32"/>
        <v>2.720159303405957</v>
      </c>
      <c r="W183" s="43" t="e">
        <f t="shared" si="33"/>
        <v>#VALUE!</v>
      </c>
      <c r="X183" s="43" t="e">
        <f t="shared" si="34"/>
        <v>#VALUE!</v>
      </c>
    </row>
    <row r="184" spans="1:24" ht="14.25" customHeight="1">
      <c r="A184" s="57"/>
      <c r="B184" s="8">
        <v>3</v>
      </c>
      <c r="C184" s="8">
        <f t="shared" si="28"/>
        <v>1.5</v>
      </c>
      <c r="D184" s="16" t="s">
        <v>42</v>
      </c>
      <c r="E184" s="16" t="s">
        <v>43</v>
      </c>
      <c r="F184" s="17" t="s">
        <v>34</v>
      </c>
      <c r="G184" s="15" t="s">
        <v>37</v>
      </c>
      <c r="H184" s="17" t="s">
        <v>29</v>
      </c>
      <c r="I184" s="21" t="s">
        <v>36</v>
      </c>
      <c r="J184" s="8">
        <v>0.12</v>
      </c>
      <c r="K184" s="8">
        <v>0.18</v>
      </c>
      <c r="L184" s="8">
        <f t="shared" si="14"/>
        <v>50</v>
      </c>
      <c r="M184" s="9">
        <v>0.18</v>
      </c>
      <c r="N184" s="9" t="s">
        <v>31</v>
      </c>
      <c r="O184" s="10" t="s">
        <v>31</v>
      </c>
      <c r="P184" s="11" t="s">
        <v>31</v>
      </c>
      <c r="Q184" s="11" t="s">
        <v>31</v>
      </c>
      <c r="R184" s="33" t="s">
        <v>31</v>
      </c>
      <c r="S184" s="37">
        <f t="shared" si="29"/>
        <v>7.9181246047624818E-2</v>
      </c>
      <c r="T184" s="37">
        <f t="shared" si="30"/>
        <v>2.6989700043360187</v>
      </c>
      <c r="U184" s="42">
        <f t="shared" si="31"/>
        <v>0.25527250510330601</v>
      </c>
      <c r="V184" s="41" t="e">
        <f t="shared" si="32"/>
        <v>#VALUE!</v>
      </c>
      <c r="W184" s="43" t="e">
        <f t="shared" si="33"/>
        <v>#VALUE!</v>
      </c>
      <c r="X184" s="43" t="e">
        <f t="shared" si="34"/>
        <v>#VALUE!</v>
      </c>
    </row>
    <row r="185" spans="1:24" ht="14.25" customHeight="1">
      <c r="A185" s="58"/>
      <c r="B185" s="8">
        <v>3</v>
      </c>
      <c r="C185" s="8">
        <f t="shared" si="28"/>
        <v>1.5</v>
      </c>
      <c r="D185" s="16" t="s">
        <v>42</v>
      </c>
      <c r="E185" s="16" t="s">
        <v>43</v>
      </c>
      <c r="F185" s="17" t="s">
        <v>34</v>
      </c>
      <c r="G185" s="15" t="s">
        <v>37</v>
      </c>
      <c r="H185" s="17" t="s">
        <v>29</v>
      </c>
      <c r="I185" s="21" t="s">
        <v>36</v>
      </c>
      <c r="J185" s="8">
        <v>0.12</v>
      </c>
      <c r="K185" s="8">
        <v>0.21</v>
      </c>
      <c r="L185" s="8">
        <f t="shared" si="14"/>
        <v>75</v>
      </c>
      <c r="M185" s="9">
        <v>0.12</v>
      </c>
      <c r="N185" s="9">
        <v>75</v>
      </c>
      <c r="O185" s="10">
        <f t="shared" si="38"/>
        <v>62400</v>
      </c>
      <c r="P185" s="11" t="s">
        <v>31</v>
      </c>
      <c r="Q185" s="11" t="s">
        <v>31</v>
      </c>
      <c r="R185" s="33" t="s">
        <v>31</v>
      </c>
      <c r="S185" s="37">
        <f t="shared" si="29"/>
        <v>7.9181246047624818E-2</v>
      </c>
      <c r="T185" s="37">
        <f t="shared" si="30"/>
        <v>2.8750612633917001</v>
      </c>
      <c r="U185" s="42">
        <f t="shared" si="31"/>
        <v>7.9181246047624818E-2</v>
      </c>
      <c r="V185" s="41">
        <f t="shared" si="32"/>
        <v>5.7951845896824237</v>
      </c>
      <c r="W185" s="43" t="e">
        <f t="shared" si="33"/>
        <v>#VALUE!</v>
      </c>
      <c r="X185" s="43" t="e">
        <f t="shared" si="34"/>
        <v>#VALUE!</v>
      </c>
    </row>
    <row r="186" spans="1:24" ht="14.25" customHeight="1">
      <c r="A186" s="45" t="s">
        <v>103</v>
      </c>
      <c r="B186" s="8">
        <v>10</v>
      </c>
      <c r="C186" s="8">
        <f t="shared" si="28"/>
        <v>5</v>
      </c>
      <c r="D186" s="16" t="s">
        <v>25</v>
      </c>
      <c r="E186" s="16" t="s">
        <v>57</v>
      </c>
      <c r="F186" s="17" t="s">
        <v>34</v>
      </c>
      <c r="G186" s="15" t="s">
        <v>38</v>
      </c>
      <c r="H186" s="17" t="s">
        <v>29</v>
      </c>
      <c r="I186" s="21" t="s">
        <v>36</v>
      </c>
      <c r="J186" s="8">
        <v>3.06</v>
      </c>
      <c r="K186" s="8">
        <v>4.6399999999999997</v>
      </c>
      <c r="L186" s="8">
        <f t="shared" si="14"/>
        <v>51.633986928104555</v>
      </c>
      <c r="M186" s="9">
        <v>53.95</v>
      </c>
      <c r="N186" s="9">
        <v>62.02</v>
      </c>
      <c r="O186" s="10">
        <f t="shared" si="38"/>
        <v>14.958294717330862</v>
      </c>
      <c r="P186" s="11">
        <v>4.2300000000000004</v>
      </c>
      <c r="Q186" s="11">
        <v>4.25</v>
      </c>
      <c r="R186" s="33">
        <f>((Q186-P186)/P186)*100</f>
        <v>0.47281323877067544</v>
      </c>
      <c r="S186" s="37">
        <f t="shared" si="29"/>
        <v>1.4857214264815801</v>
      </c>
      <c r="T186" s="37">
        <f t="shared" si="30"/>
        <v>2.7129356604728425</v>
      </c>
      <c r="U186" s="42">
        <f t="shared" si="31"/>
        <v>2.7319914490189294</v>
      </c>
      <c r="V186" s="41">
        <f t="shared" si="32"/>
        <v>2.1748820857031408</v>
      </c>
      <c r="W186" s="43">
        <f t="shared" si="33"/>
        <v>1.6263403673750423</v>
      </c>
      <c r="X186" s="43">
        <f>LOG10(R186*10)</f>
        <v>0.67468962828892953</v>
      </c>
    </row>
    <row r="187" spans="1:24" ht="14.25" customHeight="1">
      <c r="A187" s="58"/>
      <c r="B187" s="8">
        <v>20</v>
      </c>
      <c r="C187" s="8">
        <f t="shared" si="28"/>
        <v>10</v>
      </c>
      <c r="D187" s="16" t="s">
        <v>25</v>
      </c>
      <c r="E187" s="16" t="s">
        <v>57</v>
      </c>
      <c r="F187" s="17" t="s">
        <v>34</v>
      </c>
      <c r="G187" s="15" t="s">
        <v>38</v>
      </c>
      <c r="H187" s="17" t="s">
        <v>29</v>
      </c>
      <c r="I187" s="21" t="s">
        <v>36</v>
      </c>
      <c r="J187" s="8">
        <v>3.06</v>
      </c>
      <c r="K187" s="8">
        <v>4.84</v>
      </c>
      <c r="L187" s="8">
        <f t="shared" si="14"/>
        <v>58.169934640522868</v>
      </c>
      <c r="M187" s="9">
        <v>53.95</v>
      </c>
      <c r="N187" s="9">
        <v>62.03</v>
      </c>
      <c r="O187" s="10">
        <f t="shared" si="38"/>
        <v>14.976830398517141</v>
      </c>
      <c r="P187" s="11">
        <v>4.2300000000000004</v>
      </c>
      <c r="Q187" s="11">
        <v>2.84</v>
      </c>
      <c r="R187" s="33">
        <f>((Q187-P187)/P187)*100</f>
        <v>-32.860520094562659</v>
      </c>
      <c r="S187" s="37">
        <f t="shared" si="29"/>
        <v>1.4857214264815801</v>
      </c>
      <c r="T187" s="37">
        <f t="shared" si="30"/>
        <v>2.7646985758273139</v>
      </c>
      <c r="U187" s="42">
        <f t="shared" si="31"/>
        <v>2.7319914490189294</v>
      </c>
      <c r="V187" s="41">
        <f t="shared" si="32"/>
        <v>2.1754199117556565</v>
      </c>
      <c r="W187" s="43">
        <f t="shared" si="33"/>
        <v>1.6263403673750423</v>
      </c>
      <c r="X187" s="43" t="e">
        <f>LOG10(R187*10)</f>
        <v>#NUM!</v>
      </c>
    </row>
    <row r="188" spans="1:24" ht="14.25" customHeight="1">
      <c r="A188" s="45" t="s">
        <v>104</v>
      </c>
      <c r="B188" s="8">
        <v>1</v>
      </c>
      <c r="C188" s="8">
        <f t="shared" si="28"/>
        <v>0.5</v>
      </c>
      <c r="D188" s="16" t="s">
        <v>25</v>
      </c>
      <c r="E188" s="16" t="s">
        <v>105</v>
      </c>
      <c r="F188" s="17" t="s">
        <v>112</v>
      </c>
      <c r="G188" s="15" t="s">
        <v>28</v>
      </c>
      <c r="H188" s="17" t="s">
        <v>29</v>
      </c>
      <c r="I188" s="21" t="s">
        <v>36</v>
      </c>
      <c r="J188" s="8">
        <v>2.0499999999999998</v>
      </c>
      <c r="K188" s="8">
        <v>2.29</v>
      </c>
      <c r="L188" s="8">
        <f t="shared" si="14"/>
        <v>11.707317073170744</v>
      </c>
      <c r="M188" s="9">
        <v>46.2</v>
      </c>
      <c r="N188" s="9">
        <v>49.7</v>
      </c>
      <c r="O188" s="10">
        <f t="shared" si="38"/>
        <v>7.5757575757575761</v>
      </c>
      <c r="P188" s="11">
        <v>62</v>
      </c>
      <c r="Q188" s="11">
        <v>66</v>
      </c>
      <c r="R188" s="33">
        <f t="shared" ref="R188:R195" si="39">((Q188-P188)/P188)*100</f>
        <v>6.4516129032258061</v>
      </c>
      <c r="S188" s="37">
        <f t="shared" si="29"/>
        <v>1.3117538610557542</v>
      </c>
      <c r="T188" s="37">
        <f t="shared" si="30"/>
        <v>2.0684573806558522</v>
      </c>
      <c r="U188" s="42">
        <f t="shared" si="31"/>
        <v>2.6646419755561257</v>
      </c>
      <c r="V188" s="41">
        <f t="shared" si="32"/>
        <v>1.8794260687941502</v>
      </c>
      <c r="W188" s="43">
        <f t="shared" si="33"/>
        <v>2.7923916894982539</v>
      </c>
      <c r="X188" s="43">
        <f t="shared" si="34"/>
        <v>1.8096683018297086</v>
      </c>
    </row>
    <row r="189" spans="1:24" ht="14.25" customHeight="1">
      <c r="A189" s="57"/>
      <c r="B189" s="8">
        <v>3</v>
      </c>
      <c r="C189" s="8">
        <f t="shared" si="28"/>
        <v>1.5</v>
      </c>
      <c r="D189" s="16" t="s">
        <v>25</v>
      </c>
      <c r="E189" s="16" t="s">
        <v>105</v>
      </c>
      <c r="F189" s="17" t="s">
        <v>112</v>
      </c>
      <c r="G189" s="15" t="s">
        <v>93</v>
      </c>
      <c r="H189" s="17" t="s">
        <v>29</v>
      </c>
      <c r="I189" s="21" t="s">
        <v>36</v>
      </c>
      <c r="J189" s="8">
        <v>2.0499999999999998</v>
      </c>
      <c r="K189" s="8">
        <v>2.5499999999999998</v>
      </c>
      <c r="L189" s="8">
        <f t="shared" si="14"/>
        <v>24.390243902439028</v>
      </c>
      <c r="M189" s="9">
        <v>46.2</v>
      </c>
      <c r="N189" s="9">
        <v>52.5</v>
      </c>
      <c r="O189" s="10">
        <f t="shared" si="38"/>
        <v>13.63636363636363</v>
      </c>
      <c r="P189" s="11">
        <v>62</v>
      </c>
      <c r="Q189" s="11">
        <v>52</v>
      </c>
      <c r="R189" s="33">
        <f t="shared" si="39"/>
        <v>-16.129032258064516</v>
      </c>
      <c r="S189" s="37">
        <f t="shared" si="29"/>
        <v>1.3117538610557542</v>
      </c>
      <c r="T189" s="37">
        <f t="shared" si="30"/>
        <v>2.3872161432802645</v>
      </c>
      <c r="U189" s="42">
        <f t="shared" si="31"/>
        <v>2.6646419755561257</v>
      </c>
      <c r="V189" s="41">
        <f t="shared" si="32"/>
        <v>2.134698573897456</v>
      </c>
      <c r="W189" s="43">
        <f t="shared" si="33"/>
        <v>2.7923916894982539</v>
      </c>
      <c r="X189" s="43" t="e">
        <f t="shared" si="34"/>
        <v>#NUM!</v>
      </c>
    </row>
    <row r="190" spans="1:24" ht="14.25" customHeight="1">
      <c r="A190" s="57"/>
      <c r="B190" s="8">
        <v>5</v>
      </c>
      <c r="C190" s="8">
        <f t="shared" si="28"/>
        <v>2.5</v>
      </c>
      <c r="D190" s="16" t="s">
        <v>25</v>
      </c>
      <c r="E190" s="16" t="s">
        <v>105</v>
      </c>
      <c r="F190" s="17" t="s">
        <v>112</v>
      </c>
      <c r="G190" s="15" t="s">
        <v>93</v>
      </c>
      <c r="H190" s="17" t="s">
        <v>29</v>
      </c>
      <c r="I190" s="21" t="s">
        <v>36</v>
      </c>
      <c r="J190" s="8">
        <v>2.0499999999999998</v>
      </c>
      <c r="K190" s="8">
        <v>2.82</v>
      </c>
      <c r="L190" s="8">
        <f t="shared" si="14"/>
        <v>37.560975609756106</v>
      </c>
      <c r="M190" s="9">
        <v>46.2</v>
      </c>
      <c r="N190" s="9">
        <v>50</v>
      </c>
      <c r="O190" s="10">
        <f t="shared" si="38"/>
        <v>8.2251082251082188</v>
      </c>
      <c r="P190" s="11">
        <v>62</v>
      </c>
      <c r="Q190" s="11">
        <v>34</v>
      </c>
      <c r="R190" s="33">
        <f t="shared" si="39"/>
        <v>-45.161290322580641</v>
      </c>
      <c r="S190" s="37">
        <f t="shared" si="29"/>
        <v>1.3117538610557542</v>
      </c>
      <c r="T190" s="37">
        <f t="shared" si="30"/>
        <v>2.5747368641167276</v>
      </c>
      <c r="U190" s="42">
        <f t="shared" si="31"/>
        <v>2.6646419755561257</v>
      </c>
      <c r="V190" s="41">
        <f t="shared" si="32"/>
        <v>1.9151416210606842</v>
      </c>
      <c r="W190" s="43">
        <f t="shared" si="33"/>
        <v>2.7923916894982539</v>
      </c>
      <c r="X190" s="43" t="e">
        <f t="shared" si="34"/>
        <v>#NUM!</v>
      </c>
    </row>
    <row r="191" spans="1:24" ht="14.25" customHeight="1">
      <c r="A191" s="57"/>
      <c r="B191" s="8">
        <v>9</v>
      </c>
      <c r="C191" s="8">
        <f t="shared" si="28"/>
        <v>4.5</v>
      </c>
      <c r="D191" s="16" t="s">
        <v>25</v>
      </c>
      <c r="E191" s="16" t="s">
        <v>105</v>
      </c>
      <c r="F191" s="17" t="s">
        <v>112</v>
      </c>
      <c r="G191" s="15" t="s">
        <v>37</v>
      </c>
      <c r="H191" s="17" t="s">
        <v>29</v>
      </c>
      <c r="I191" s="21" t="s">
        <v>36</v>
      </c>
      <c r="J191" s="8">
        <v>2.0499999999999998</v>
      </c>
      <c r="K191" s="8">
        <v>3.18</v>
      </c>
      <c r="L191" s="8">
        <f t="shared" si="14"/>
        <v>55.121951219512219</v>
      </c>
      <c r="M191" s="9">
        <v>46.2</v>
      </c>
      <c r="N191" s="9">
        <v>48.5</v>
      </c>
      <c r="O191" s="10">
        <f t="shared" si="38"/>
        <v>4.9783549783549725</v>
      </c>
      <c r="P191" s="11">
        <v>62</v>
      </c>
      <c r="Q191" s="11">
        <v>6.5</v>
      </c>
      <c r="R191" s="33">
        <f t="shared" si="39"/>
        <v>-89.516129032258064</v>
      </c>
      <c r="S191" s="37">
        <f t="shared" si="29"/>
        <v>1.3117538610557542</v>
      </c>
      <c r="T191" s="37">
        <f t="shared" si="30"/>
        <v>2.7413245824276657</v>
      </c>
      <c r="U191" s="42">
        <f t="shared" si="31"/>
        <v>2.6646419755561257</v>
      </c>
      <c r="V191" s="41">
        <f t="shared" si="32"/>
        <v>1.6970858604614669</v>
      </c>
      <c r="W191" s="43">
        <f t="shared" si="33"/>
        <v>2.7923916894982539</v>
      </c>
      <c r="X191" s="43" t="e">
        <f t="shared" si="34"/>
        <v>#NUM!</v>
      </c>
    </row>
    <row r="192" spans="1:24" ht="14.25" customHeight="1">
      <c r="A192" s="57"/>
      <c r="B192" s="8">
        <v>1</v>
      </c>
      <c r="C192" s="8">
        <f t="shared" si="28"/>
        <v>0.5</v>
      </c>
      <c r="D192" s="16" t="s">
        <v>25</v>
      </c>
      <c r="E192" s="16" t="s">
        <v>105</v>
      </c>
      <c r="F192" s="17" t="s">
        <v>34</v>
      </c>
      <c r="G192" s="15" t="s">
        <v>28</v>
      </c>
      <c r="H192" s="17" t="s">
        <v>29</v>
      </c>
      <c r="I192" s="21" t="s">
        <v>36</v>
      </c>
      <c r="J192" s="8">
        <v>2.0499999999999998</v>
      </c>
      <c r="K192" s="8">
        <v>2.23</v>
      </c>
      <c r="L192" s="8">
        <f t="shared" si="14"/>
        <v>8.7804878048780584</v>
      </c>
      <c r="M192" s="9">
        <v>46.2</v>
      </c>
      <c r="N192" s="9">
        <v>48.2</v>
      </c>
      <c r="O192" s="10">
        <f t="shared" si="38"/>
        <v>4.329004329004329</v>
      </c>
      <c r="P192" s="11">
        <v>62</v>
      </c>
      <c r="Q192" s="11">
        <v>50</v>
      </c>
      <c r="R192" s="33">
        <f t="shared" si="39"/>
        <v>-19.35483870967742</v>
      </c>
      <c r="S192" s="37">
        <f t="shared" si="29"/>
        <v>1.3117538610557542</v>
      </c>
      <c r="T192" s="37">
        <f t="shared" si="30"/>
        <v>1.9435186440475523</v>
      </c>
      <c r="U192" s="42">
        <f t="shared" si="31"/>
        <v>2.6646419755561257</v>
      </c>
      <c r="V192" s="41">
        <f t="shared" si="32"/>
        <v>1.6363880201078556</v>
      </c>
      <c r="W192" s="43">
        <f t="shared" si="33"/>
        <v>2.7923916894982539</v>
      </c>
      <c r="X192" s="43" t="e">
        <f t="shared" si="34"/>
        <v>#NUM!</v>
      </c>
    </row>
    <row r="193" spans="1:24" ht="14.25" customHeight="1">
      <c r="A193" s="57"/>
      <c r="B193" s="8">
        <v>3</v>
      </c>
      <c r="C193" s="8">
        <f t="shared" si="28"/>
        <v>1.5</v>
      </c>
      <c r="D193" s="16" t="s">
        <v>25</v>
      </c>
      <c r="E193" s="16" t="s">
        <v>105</v>
      </c>
      <c r="F193" s="17" t="s">
        <v>34</v>
      </c>
      <c r="G193" s="15" t="s">
        <v>37</v>
      </c>
      <c r="H193" s="17" t="s">
        <v>29</v>
      </c>
      <c r="I193" s="21" t="s">
        <v>36</v>
      </c>
      <c r="J193" s="8">
        <v>2.0499999999999998</v>
      </c>
      <c r="K193" s="8">
        <v>2.38</v>
      </c>
      <c r="L193" s="8">
        <f t="shared" si="14"/>
        <v>16.097560975609763</v>
      </c>
      <c r="M193" s="9">
        <v>46.2</v>
      </c>
      <c r="N193" s="9">
        <v>49</v>
      </c>
      <c r="O193" s="10">
        <f t="shared" si="38"/>
        <v>6.0606060606060534</v>
      </c>
      <c r="P193" s="11">
        <v>62</v>
      </c>
      <c r="Q193" s="11">
        <v>30</v>
      </c>
      <c r="R193" s="33">
        <f t="shared" si="39"/>
        <v>-51.612903225806448</v>
      </c>
      <c r="S193" s="37">
        <f t="shared" si="29"/>
        <v>1.3117538610557542</v>
      </c>
      <c r="T193" s="37">
        <f t="shared" si="30"/>
        <v>2.2067600788221333</v>
      </c>
      <c r="U193" s="42">
        <f t="shared" si="31"/>
        <v>2.6646419755561257</v>
      </c>
      <c r="V193" s="41">
        <f t="shared" si="32"/>
        <v>1.7825160557860933</v>
      </c>
      <c r="W193" s="43">
        <f t="shared" si="33"/>
        <v>2.7923916894982539</v>
      </c>
      <c r="X193" s="43" t="e">
        <f t="shared" si="34"/>
        <v>#NUM!</v>
      </c>
    </row>
    <row r="194" spans="1:24" ht="14.25" customHeight="1">
      <c r="A194" s="57"/>
      <c r="B194" s="8">
        <v>5</v>
      </c>
      <c r="C194" s="8">
        <f t="shared" si="28"/>
        <v>2.5</v>
      </c>
      <c r="D194" s="16" t="s">
        <v>25</v>
      </c>
      <c r="E194" s="16" t="s">
        <v>105</v>
      </c>
      <c r="F194" s="17" t="s">
        <v>34</v>
      </c>
      <c r="G194" s="15" t="s">
        <v>37</v>
      </c>
      <c r="H194" s="17" t="s">
        <v>29</v>
      </c>
      <c r="I194" s="21" t="s">
        <v>36</v>
      </c>
      <c r="J194" s="8">
        <v>2.0499999999999998</v>
      </c>
      <c r="K194" s="8">
        <v>2.5</v>
      </c>
      <c r="L194" s="8">
        <f t="shared" si="14"/>
        <v>21.951219512195134</v>
      </c>
      <c r="M194" s="9">
        <v>46.2</v>
      </c>
      <c r="N194" s="9">
        <v>48.4</v>
      </c>
      <c r="O194" s="10">
        <f t="shared" si="38"/>
        <v>4.761904761904753</v>
      </c>
      <c r="P194" s="11">
        <v>62</v>
      </c>
      <c r="Q194" s="11">
        <v>10</v>
      </c>
      <c r="R194" s="33">
        <f>((Q194-P194)/P194)*100</f>
        <v>-83.870967741935488</v>
      </c>
      <c r="S194" s="37">
        <f t="shared" si="29"/>
        <v>1.3117538610557542</v>
      </c>
      <c r="T194" s="37">
        <f t="shared" si="30"/>
        <v>2.3414586527195898</v>
      </c>
      <c r="U194" s="42">
        <f t="shared" si="31"/>
        <v>2.6646419755561257</v>
      </c>
      <c r="V194" s="41">
        <f t="shared" si="32"/>
        <v>1.6777807052660798</v>
      </c>
      <c r="W194" s="43">
        <f t="shared" si="33"/>
        <v>2.7923916894982539</v>
      </c>
      <c r="X194" s="43" t="e">
        <f t="shared" si="34"/>
        <v>#NUM!</v>
      </c>
    </row>
    <row r="195" spans="1:24" ht="14.25" customHeight="1">
      <c r="A195" s="58"/>
      <c r="B195" s="8">
        <v>9</v>
      </c>
      <c r="C195" s="8">
        <f t="shared" si="28"/>
        <v>4.5</v>
      </c>
      <c r="D195" s="16" t="s">
        <v>25</v>
      </c>
      <c r="E195" s="16" t="s">
        <v>105</v>
      </c>
      <c r="F195" s="17" t="s">
        <v>34</v>
      </c>
      <c r="G195" s="15" t="s">
        <v>37</v>
      </c>
      <c r="H195" s="17" t="s">
        <v>29</v>
      </c>
      <c r="I195" s="21" t="s">
        <v>36</v>
      </c>
      <c r="J195" s="8">
        <v>2.0499999999999998</v>
      </c>
      <c r="K195" s="8">
        <v>2.5099999999999998</v>
      </c>
      <c r="L195" s="8">
        <f t="shared" si="14"/>
        <v>22.439024390243905</v>
      </c>
      <c r="M195" s="9">
        <v>46.2</v>
      </c>
      <c r="N195" s="9">
        <v>45.4</v>
      </c>
      <c r="O195" s="10">
        <f t="shared" si="38"/>
        <v>-1.7316017316017407</v>
      </c>
      <c r="P195" s="11">
        <v>62</v>
      </c>
      <c r="Q195" s="11">
        <v>4.5</v>
      </c>
      <c r="R195" s="33">
        <f t="shared" si="39"/>
        <v>-92.741935483870961</v>
      </c>
      <c r="S195" s="37">
        <f t="shared" si="29"/>
        <v>1.3117538610557542</v>
      </c>
      <c r="T195" s="37">
        <f t="shared" si="30"/>
        <v>2.3510039706258197</v>
      </c>
      <c r="U195" s="42">
        <f t="shared" si="31"/>
        <v>2.6646419755561257</v>
      </c>
      <c r="V195" s="41" t="e">
        <f t="shared" si="32"/>
        <v>#NUM!</v>
      </c>
      <c r="W195" s="43">
        <f t="shared" si="33"/>
        <v>2.7923916894982539</v>
      </c>
      <c r="X195" s="43" t="e">
        <f t="shared" si="34"/>
        <v>#NUM!</v>
      </c>
    </row>
    <row r="196" spans="1:24" ht="14.25" customHeight="1">
      <c r="A196" s="45" t="s">
        <v>106</v>
      </c>
      <c r="B196" s="8">
        <v>4.2</v>
      </c>
      <c r="C196" s="8">
        <f t="shared" si="28"/>
        <v>2.1</v>
      </c>
      <c r="D196" s="16" t="s">
        <v>25</v>
      </c>
      <c r="E196" s="16" t="s">
        <v>107</v>
      </c>
      <c r="F196" s="17" t="s">
        <v>34</v>
      </c>
      <c r="G196" s="15" t="s">
        <v>37</v>
      </c>
      <c r="H196" s="17" t="s">
        <v>29</v>
      </c>
      <c r="I196" s="21" t="s">
        <v>36</v>
      </c>
      <c r="J196" s="8">
        <v>1.1000000000000001</v>
      </c>
      <c r="K196" s="8">
        <v>2.1</v>
      </c>
      <c r="L196" s="8">
        <f t="shared" si="14"/>
        <v>90.909090909090907</v>
      </c>
      <c r="M196" s="9">
        <v>69</v>
      </c>
      <c r="N196" s="9">
        <v>107</v>
      </c>
      <c r="O196" s="10">
        <f>(N196-M196)/M196*100</f>
        <v>55.072463768115945</v>
      </c>
      <c r="P196" s="11" t="s">
        <v>31</v>
      </c>
      <c r="Q196" s="11" t="s">
        <v>31</v>
      </c>
      <c r="R196" s="33" t="s">
        <v>31</v>
      </c>
      <c r="S196" s="37">
        <f t="shared" ref="S196:S259" si="40">LOG10(J196*10)</f>
        <v>1.0413926851582251</v>
      </c>
      <c r="T196" s="37">
        <f t="shared" ref="T196:T259" si="41">LOG10(L196*10)</f>
        <v>2.9586073148417751</v>
      </c>
      <c r="U196" s="42">
        <f t="shared" ref="U196:U259" si="42">LOG10(M196*10)</f>
        <v>2.8388490907372552</v>
      </c>
      <c r="V196" s="41">
        <f t="shared" ref="V196:V259" si="43">LOG10(O196*10)</f>
        <v>2.7409345058795549</v>
      </c>
      <c r="W196" s="43" t="e">
        <f t="shared" ref="W196:W259" si="44">LOG10(P196*10)</f>
        <v>#VALUE!</v>
      </c>
      <c r="X196" s="43" t="e">
        <f t="shared" ref="X196:X259" si="45">LOG10(R196*10)</f>
        <v>#VALUE!</v>
      </c>
    </row>
    <row r="197" spans="1:24" ht="14.25" customHeight="1">
      <c r="A197" s="58"/>
      <c r="B197" s="8">
        <v>5</v>
      </c>
      <c r="C197" s="8">
        <f t="shared" si="28"/>
        <v>2.5</v>
      </c>
      <c r="D197" s="16" t="s">
        <v>25</v>
      </c>
      <c r="E197" s="16" t="s">
        <v>107</v>
      </c>
      <c r="F197" s="17" t="s">
        <v>34</v>
      </c>
      <c r="G197" s="15" t="s">
        <v>37</v>
      </c>
      <c r="H197" s="17" t="s">
        <v>29</v>
      </c>
      <c r="I197" s="21" t="s">
        <v>36</v>
      </c>
      <c r="J197" s="8">
        <v>1.1000000000000001</v>
      </c>
      <c r="K197" s="8">
        <v>1</v>
      </c>
      <c r="L197" s="8">
        <f t="shared" si="14"/>
        <v>-9.0909090909090988</v>
      </c>
      <c r="M197" s="9" t="s">
        <v>31</v>
      </c>
      <c r="N197" s="9" t="s">
        <v>31</v>
      </c>
      <c r="O197" s="10" t="s">
        <v>31</v>
      </c>
      <c r="P197" s="11" t="s">
        <v>31</v>
      </c>
      <c r="Q197" s="11" t="s">
        <v>31</v>
      </c>
      <c r="R197" s="33" t="s">
        <v>31</v>
      </c>
      <c r="S197" s="37">
        <f t="shared" si="40"/>
        <v>1.0413926851582251</v>
      </c>
      <c r="T197" s="37" t="e">
        <f t="shared" si="41"/>
        <v>#NUM!</v>
      </c>
      <c r="U197" s="42" t="e">
        <f t="shared" si="42"/>
        <v>#VALUE!</v>
      </c>
      <c r="V197" s="41" t="e">
        <f t="shared" si="43"/>
        <v>#VALUE!</v>
      </c>
      <c r="W197" s="43" t="e">
        <f t="shared" si="44"/>
        <v>#VALUE!</v>
      </c>
      <c r="X197" s="43" t="e">
        <f t="shared" si="45"/>
        <v>#VALUE!</v>
      </c>
    </row>
    <row r="198" spans="1:24" ht="14.25" customHeight="1">
      <c r="A198" s="45" t="s">
        <v>108</v>
      </c>
      <c r="B198" s="8">
        <v>1</v>
      </c>
      <c r="C198" s="8">
        <f t="shared" si="28"/>
        <v>0.5</v>
      </c>
      <c r="D198" s="16" t="s">
        <v>42</v>
      </c>
      <c r="E198" s="16" t="s">
        <v>58</v>
      </c>
      <c r="F198" s="17" t="s">
        <v>34</v>
      </c>
      <c r="G198" s="15" t="s">
        <v>28</v>
      </c>
      <c r="H198" s="17" t="s">
        <v>29</v>
      </c>
      <c r="I198" s="21" t="s">
        <v>36</v>
      </c>
      <c r="J198" s="8">
        <v>3.5</v>
      </c>
      <c r="K198" s="8">
        <v>3.6</v>
      </c>
      <c r="L198" s="8">
        <f t="shared" si="14"/>
        <v>2.8571428571428599</v>
      </c>
      <c r="M198" s="9" t="s">
        <v>31</v>
      </c>
      <c r="N198" s="9" t="s">
        <v>31</v>
      </c>
      <c r="O198" s="10" t="s">
        <v>31</v>
      </c>
      <c r="P198" s="11" t="s">
        <v>31</v>
      </c>
      <c r="Q198" s="11" t="s">
        <v>31</v>
      </c>
      <c r="R198" s="33" t="s">
        <v>31</v>
      </c>
      <c r="S198" s="37">
        <f t="shared" si="40"/>
        <v>1.5440680443502757</v>
      </c>
      <c r="T198" s="37">
        <f t="shared" si="41"/>
        <v>1.4559319556497248</v>
      </c>
      <c r="U198" s="42" t="e">
        <f t="shared" si="42"/>
        <v>#VALUE!</v>
      </c>
      <c r="V198" s="41" t="e">
        <f t="shared" si="43"/>
        <v>#VALUE!</v>
      </c>
      <c r="W198" s="43" t="e">
        <f t="shared" si="44"/>
        <v>#VALUE!</v>
      </c>
      <c r="X198" s="43" t="e">
        <f t="shared" si="45"/>
        <v>#VALUE!</v>
      </c>
    </row>
    <row r="199" spans="1:24" ht="14.25" customHeight="1">
      <c r="A199" s="58"/>
      <c r="B199" s="8">
        <v>2</v>
      </c>
      <c r="C199" s="8">
        <f t="shared" si="28"/>
        <v>1</v>
      </c>
      <c r="D199" s="16" t="s">
        <v>42</v>
      </c>
      <c r="E199" s="16" t="s">
        <v>58</v>
      </c>
      <c r="F199" s="17" t="s">
        <v>34</v>
      </c>
      <c r="G199" s="15" t="s">
        <v>28</v>
      </c>
      <c r="H199" s="17" t="s">
        <v>29</v>
      </c>
      <c r="I199" s="21" t="s">
        <v>36</v>
      </c>
      <c r="J199" s="8">
        <v>3.5</v>
      </c>
      <c r="K199" s="8">
        <v>3.7</v>
      </c>
      <c r="L199" s="8">
        <f t="shared" si="14"/>
        <v>5.7142857142857197</v>
      </c>
      <c r="M199" s="9" t="s">
        <v>31</v>
      </c>
      <c r="N199" s="9" t="s">
        <v>31</v>
      </c>
      <c r="O199" s="10" t="s">
        <v>31</v>
      </c>
      <c r="P199" s="11" t="s">
        <v>31</v>
      </c>
      <c r="Q199" s="11" t="s">
        <v>31</v>
      </c>
      <c r="R199" s="33" t="s">
        <v>31</v>
      </c>
      <c r="S199" s="37">
        <f t="shared" si="40"/>
        <v>1.5440680443502757</v>
      </c>
      <c r="T199" s="37">
        <f t="shared" si="41"/>
        <v>1.756961951313706</v>
      </c>
      <c r="U199" s="42" t="e">
        <f t="shared" si="42"/>
        <v>#VALUE!</v>
      </c>
      <c r="V199" s="41" t="e">
        <f t="shared" si="43"/>
        <v>#VALUE!</v>
      </c>
      <c r="W199" s="43" t="e">
        <f t="shared" si="44"/>
        <v>#VALUE!</v>
      </c>
      <c r="X199" s="43" t="e">
        <f t="shared" si="45"/>
        <v>#VALUE!</v>
      </c>
    </row>
    <row r="200" spans="1:24" ht="14.25" customHeight="1">
      <c r="A200" s="45" t="s">
        <v>109</v>
      </c>
      <c r="B200" s="8">
        <v>5</v>
      </c>
      <c r="C200" s="8">
        <f t="shared" si="28"/>
        <v>2.5</v>
      </c>
      <c r="D200" s="16" t="s">
        <v>25</v>
      </c>
      <c r="E200" s="16" t="s">
        <v>33</v>
      </c>
      <c r="F200" s="17" t="s">
        <v>34</v>
      </c>
      <c r="G200" s="15" t="s">
        <v>37</v>
      </c>
      <c r="H200" s="17" t="s">
        <v>29</v>
      </c>
      <c r="I200" s="21" t="s">
        <v>36</v>
      </c>
      <c r="J200" s="8">
        <v>0.46200000000000002</v>
      </c>
      <c r="K200" s="8">
        <v>0.95499999999999996</v>
      </c>
      <c r="L200" s="8">
        <f t="shared" si="14"/>
        <v>106.70995670995669</v>
      </c>
      <c r="M200" s="9" t="s">
        <v>31</v>
      </c>
      <c r="N200" s="9" t="s">
        <v>31</v>
      </c>
      <c r="O200" s="10" t="s">
        <v>31</v>
      </c>
      <c r="P200" s="11" t="s">
        <v>31</v>
      </c>
      <c r="Q200" s="11" t="s">
        <v>31</v>
      </c>
      <c r="R200" s="33" t="s">
        <v>31</v>
      </c>
      <c r="S200" s="37">
        <f t="shared" si="40"/>
        <v>0.66464197555612547</v>
      </c>
      <c r="T200" s="37">
        <f t="shared" si="41"/>
        <v>3.0282049437211045</v>
      </c>
      <c r="U200" s="42" t="e">
        <f t="shared" si="42"/>
        <v>#VALUE!</v>
      </c>
      <c r="V200" s="41" t="e">
        <f t="shared" si="43"/>
        <v>#VALUE!</v>
      </c>
      <c r="W200" s="43" t="e">
        <f t="shared" si="44"/>
        <v>#VALUE!</v>
      </c>
      <c r="X200" s="43" t="e">
        <f t="shared" si="45"/>
        <v>#VALUE!</v>
      </c>
    </row>
    <row r="201" spans="1:24" ht="14.25" customHeight="1">
      <c r="A201" s="58"/>
      <c r="B201" s="8">
        <v>5</v>
      </c>
      <c r="C201" s="8">
        <f t="shared" si="28"/>
        <v>2.5</v>
      </c>
      <c r="D201" s="16" t="s">
        <v>25</v>
      </c>
      <c r="E201" s="16" t="s">
        <v>33</v>
      </c>
      <c r="F201" s="17" t="s">
        <v>34</v>
      </c>
      <c r="G201" s="15" t="s">
        <v>37</v>
      </c>
      <c r="H201" s="17" t="s">
        <v>29</v>
      </c>
      <c r="I201" s="21" t="s">
        <v>36</v>
      </c>
      <c r="J201" s="8">
        <v>0.46200000000000002</v>
      </c>
      <c r="K201" s="8">
        <v>0.95499999999999996</v>
      </c>
      <c r="L201" s="8">
        <f t="shared" si="14"/>
        <v>106.70995670995669</v>
      </c>
      <c r="M201" s="9" t="s">
        <v>31</v>
      </c>
      <c r="N201" s="9" t="s">
        <v>31</v>
      </c>
      <c r="O201" s="10" t="s">
        <v>31</v>
      </c>
      <c r="P201" s="11" t="s">
        <v>31</v>
      </c>
      <c r="Q201" s="11" t="s">
        <v>31</v>
      </c>
      <c r="R201" s="33" t="s">
        <v>31</v>
      </c>
      <c r="S201" s="37">
        <f t="shared" si="40"/>
        <v>0.66464197555612547</v>
      </c>
      <c r="T201" s="37">
        <f t="shared" si="41"/>
        <v>3.0282049437211045</v>
      </c>
      <c r="U201" s="42" t="e">
        <f t="shared" si="42"/>
        <v>#VALUE!</v>
      </c>
      <c r="V201" s="41" t="e">
        <f t="shared" si="43"/>
        <v>#VALUE!</v>
      </c>
      <c r="W201" s="43" t="e">
        <f t="shared" si="44"/>
        <v>#VALUE!</v>
      </c>
      <c r="X201" s="43" t="e">
        <f t="shared" si="45"/>
        <v>#VALUE!</v>
      </c>
    </row>
    <row r="202" spans="1:24" ht="14.25" customHeight="1">
      <c r="A202" s="45" t="s">
        <v>110</v>
      </c>
      <c r="B202" s="8">
        <v>10</v>
      </c>
      <c r="C202" s="8">
        <f t="shared" si="28"/>
        <v>5</v>
      </c>
      <c r="D202" s="16" t="s">
        <v>25</v>
      </c>
      <c r="E202" s="16" t="s">
        <v>111</v>
      </c>
      <c r="F202" s="17" t="s">
        <v>112</v>
      </c>
      <c r="G202" s="15" t="s">
        <v>37</v>
      </c>
      <c r="H202" s="17" t="s">
        <v>29</v>
      </c>
      <c r="I202" s="21" t="s">
        <v>36</v>
      </c>
      <c r="J202" s="8">
        <v>9.74</v>
      </c>
      <c r="K202" s="8">
        <v>10.16</v>
      </c>
      <c r="L202" s="8">
        <f t="shared" si="14"/>
        <v>4.3121149897330593</v>
      </c>
      <c r="M202" s="9">
        <v>2.94</v>
      </c>
      <c r="N202" s="9">
        <v>2.58</v>
      </c>
      <c r="O202" s="10">
        <f>(N202-M202)/M202*100</f>
        <v>-12.244897959183669</v>
      </c>
      <c r="P202" s="11">
        <v>55</v>
      </c>
      <c r="Q202" s="11">
        <v>47</v>
      </c>
      <c r="R202" s="33">
        <f>((Q202-P202)/P202)*100</f>
        <v>-14.545454545454545</v>
      </c>
      <c r="S202" s="37">
        <f t="shared" si="40"/>
        <v>1.9885589568786155</v>
      </c>
      <c r="T202" s="37">
        <f t="shared" si="41"/>
        <v>1.6346903335192851</v>
      </c>
      <c r="U202" s="42">
        <f t="shared" si="42"/>
        <v>1.4683473304121573</v>
      </c>
      <c r="V202" s="41" t="e">
        <f t="shared" si="43"/>
        <v>#NUM!</v>
      </c>
      <c r="W202" s="43">
        <f t="shared" si="44"/>
        <v>2.7403626894942437</v>
      </c>
      <c r="X202" s="43" t="e">
        <f t="shared" si="45"/>
        <v>#NUM!</v>
      </c>
    </row>
    <row r="203" spans="1:24" ht="14.25" customHeight="1">
      <c r="A203" s="57"/>
      <c r="B203" s="8">
        <v>20</v>
      </c>
      <c r="C203" s="8">
        <f t="shared" si="28"/>
        <v>10</v>
      </c>
      <c r="D203" s="16" t="s">
        <v>25</v>
      </c>
      <c r="E203" s="16" t="s">
        <v>111</v>
      </c>
      <c r="F203" s="17" t="s">
        <v>112</v>
      </c>
      <c r="G203" s="15" t="s">
        <v>78</v>
      </c>
      <c r="H203" s="17" t="s">
        <v>29</v>
      </c>
      <c r="I203" s="21" t="s">
        <v>36</v>
      </c>
      <c r="J203" s="8">
        <v>9.74</v>
      </c>
      <c r="K203" s="8">
        <v>11.36</v>
      </c>
      <c r="L203" s="8">
        <f t="shared" si="14"/>
        <v>16.632443531827505</v>
      </c>
      <c r="M203" s="9">
        <v>2.94</v>
      </c>
      <c r="N203" s="9">
        <v>3.5</v>
      </c>
      <c r="O203" s="10">
        <f t="shared" ref="O203:O205" si="46">(N203-M203)/M203*100</f>
        <v>19.047619047619051</v>
      </c>
      <c r="P203" s="11">
        <v>55</v>
      </c>
      <c r="Q203" s="11">
        <v>50</v>
      </c>
      <c r="R203" s="33">
        <f t="shared" ref="R203:R205" si="47">((Q203-P203)/P203)*100</f>
        <v>-9.0909090909090917</v>
      </c>
      <c r="S203" s="37">
        <f t="shared" si="40"/>
        <v>1.9885589568786155</v>
      </c>
      <c r="T203" s="37">
        <f t="shared" si="41"/>
        <v>2.220956057664015</v>
      </c>
      <c r="U203" s="42">
        <f t="shared" si="42"/>
        <v>1.4683473304121573</v>
      </c>
      <c r="V203" s="41">
        <f t="shared" si="43"/>
        <v>2.279840696594043</v>
      </c>
      <c r="W203" s="43">
        <f t="shared" si="44"/>
        <v>2.7403626894942437</v>
      </c>
      <c r="X203" s="43" t="e">
        <f t="shared" si="45"/>
        <v>#NUM!</v>
      </c>
    </row>
    <row r="204" spans="1:24" ht="14.25" customHeight="1">
      <c r="A204" s="57"/>
      <c r="B204" s="8">
        <v>30</v>
      </c>
      <c r="C204" s="8">
        <f t="shared" si="28"/>
        <v>15</v>
      </c>
      <c r="D204" s="16" t="s">
        <v>25</v>
      </c>
      <c r="E204" s="16" t="s">
        <v>111</v>
      </c>
      <c r="F204" s="17" t="s">
        <v>112</v>
      </c>
      <c r="G204" s="15" t="s">
        <v>38</v>
      </c>
      <c r="H204" s="17" t="s">
        <v>29</v>
      </c>
      <c r="I204" s="21" t="s">
        <v>36</v>
      </c>
      <c r="J204" s="8">
        <v>9.74</v>
      </c>
      <c r="K204" s="8">
        <v>15.89</v>
      </c>
      <c r="L204" s="8">
        <f t="shared" si="14"/>
        <v>63.141683778234089</v>
      </c>
      <c r="M204" s="9">
        <v>2.94</v>
      </c>
      <c r="N204" s="9">
        <v>4.66</v>
      </c>
      <c r="O204" s="10">
        <f t="shared" si="46"/>
        <v>58.503401360544224</v>
      </c>
      <c r="P204" s="11">
        <v>55</v>
      </c>
      <c r="Q204" s="11">
        <v>38</v>
      </c>
      <c r="R204" s="33">
        <f t="shared" si="47"/>
        <v>-30.909090909090907</v>
      </c>
      <c r="S204" s="37">
        <f t="shared" si="40"/>
        <v>1.9885589568786155</v>
      </c>
      <c r="T204" s="37">
        <f t="shared" si="41"/>
        <v>2.8003161588968011</v>
      </c>
      <c r="U204" s="42">
        <f t="shared" si="42"/>
        <v>1.4683473304121573</v>
      </c>
      <c r="V204" s="41">
        <f t="shared" si="43"/>
        <v>2.7671811164953919</v>
      </c>
      <c r="W204" s="43">
        <f t="shared" si="44"/>
        <v>2.7403626894942437</v>
      </c>
      <c r="X204" s="43" t="e">
        <f t="shared" si="45"/>
        <v>#NUM!</v>
      </c>
    </row>
    <row r="205" spans="1:24" ht="14.25" customHeight="1">
      <c r="A205" s="58"/>
      <c r="B205" s="8">
        <v>40</v>
      </c>
      <c r="C205" s="8">
        <f t="shared" si="28"/>
        <v>20</v>
      </c>
      <c r="D205" s="16" t="s">
        <v>25</v>
      </c>
      <c r="E205" s="16" t="s">
        <v>111</v>
      </c>
      <c r="F205" s="17" t="s">
        <v>112</v>
      </c>
      <c r="G205" s="15" t="s">
        <v>38</v>
      </c>
      <c r="H205" s="17" t="s">
        <v>29</v>
      </c>
      <c r="I205" s="21" t="s">
        <v>36</v>
      </c>
      <c r="J205" s="8">
        <v>9.74</v>
      </c>
      <c r="K205" s="8">
        <v>21.52</v>
      </c>
      <c r="L205" s="8">
        <f>(K205-J205)/J205*100</f>
        <v>120.94455852156057</v>
      </c>
      <c r="M205" s="9">
        <v>2.94</v>
      </c>
      <c r="N205" s="9">
        <v>4.59</v>
      </c>
      <c r="O205" s="10">
        <f t="shared" si="46"/>
        <v>56.12244897959183</v>
      </c>
      <c r="P205" s="11">
        <v>55</v>
      </c>
      <c r="Q205" s="11">
        <v>37</v>
      </c>
      <c r="R205" s="33">
        <f>((Q205-P205)/P205)*100</f>
        <v>-32.727272727272727</v>
      </c>
      <c r="S205" s="37">
        <f t="shared" si="40"/>
        <v>1.9885589568786155</v>
      </c>
      <c r="T205" s="37">
        <f t="shared" si="41"/>
        <v>3.0825863335724675</v>
      </c>
      <c r="U205" s="42">
        <f t="shared" si="42"/>
        <v>1.4683473304121573</v>
      </c>
      <c r="V205" s="41">
        <f t="shared" si="43"/>
        <v>2.749136613801749</v>
      </c>
      <c r="W205" s="43">
        <f t="shared" si="44"/>
        <v>2.7403626894942437</v>
      </c>
      <c r="X205" s="43" t="e">
        <f t="shared" si="45"/>
        <v>#NUM!</v>
      </c>
    </row>
    <row r="206" spans="1:24" ht="14.25" customHeight="1">
      <c r="A206" s="45" t="s">
        <v>113</v>
      </c>
      <c r="B206" s="8">
        <v>2</v>
      </c>
      <c r="C206" s="8">
        <f t="shared" si="28"/>
        <v>1</v>
      </c>
      <c r="D206" s="16" t="s">
        <v>42</v>
      </c>
      <c r="E206" s="16" t="s">
        <v>43</v>
      </c>
      <c r="F206" s="17" t="s">
        <v>59</v>
      </c>
      <c r="G206" s="15" t="s">
        <v>35</v>
      </c>
      <c r="H206" s="17" t="s">
        <v>29</v>
      </c>
      <c r="I206" s="21" t="s">
        <v>36</v>
      </c>
      <c r="J206" s="8" t="s">
        <v>31</v>
      </c>
      <c r="K206" s="8" t="s">
        <v>31</v>
      </c>
      <c r="L206" s="8" t="s">
        <v>31</v>
      </c>
      <c r="M206" s="9" t="s">
        <v>31</v>
      </c>
      <c r="N206" s="9" t="s">
        <v>31</v>
      </c>
      <c r="O206" s="10" t="s">
        <v>31</v>
      </c>
      <c r="P206" s="11" t="s">
        <v>31</v>
      </c>
      <c r="Q206" s="11" t="s">
        <v>31</v>
      </c>
      <c r="R206" s="33" t="s">
        <v>31</v>
      </c>
      <c r="S206" s="37" t="e">
        <f t="shared" si="40"/>
        <v>#VALUE!</v>
      </c>
      <c r="T206" s="37" t="e">
        <f t="shared" si="41"/>
        <v>#VALUE!</v>
      </c>
      <c r="U206" s="42" t="e">
        <f t="shared" si="42"/>
        <v>#VALUE!</v>
      </c>
      <c r="V206" s="41" t="e">
        <f t="shared" si="43"/>
        <v>#VALUE!</v>
      </c>
      <c r="W206" s="43" t="e">
        <f t="shared" si="44"/>
        <v>#VALUE!</v>
      </c>
      <c r="X206" s="43" t="e">
        <f t="shared" si="45"/>
        <v>#VALUE!</v>
      </c>
    </row>
    <row r="207" spans="1:24" ht="14.25" customHeight="1">
      <c r="A207" s="49"/>
      <c r="B207" s="8">
        <v>4</v>
      </c>
      <c r="C207" s="8">
        <f t="shared" si="28"/>
        <v>2</v>
      </c>
      <c r="D207" s="16" t="s">
        <v>42</v>
      </c>
      <c r="E207" s="16" t="s">
        <v>43</v>
      </c>
      <c r="F207" s="17" t="s">
        <v>59</v>
      </c>
      <c r="G207" s="15" t="s">
        <v>35</v>
      </c>
      <c r="H207" s="17" t="s">
        <v>29</v>
      </c>
      <c r="I207" s="21" t="s">
        <v>36</v>
      </c>
      <c r="J207" s="8" t="s">
        <v>31</v>
      </c>
      <c r="K207" s="8" t="s">
        <v>31</v>
      </c>
      <c r="L207" s="8" t="s">
        <v>31</v>
      </c>
      <c r="M207" s="9" t="s">
        <v>31</v>
      </c>
      <c r="N207" s="9" t="s">
        <v>31</v>
      </c>
      <c r="O207" s="10" t="s">
        <v>31</v>
      </c>
      <c r="P207" s="11" t="s">
        <v>31</v>
      </c>
      <c r="Q207" s="11" t="s">
        <v>31</v>
      </c>
      <c r="R207" s="33" t="s">
        <v>31</v>
      </c>
      <c r="S207" s="37" t="e">
        <f t="shared" si="40"/>
        <v>#VALUE!</v>
      </c>
      <c r="T207" s="37" t="e">
        <f t="shared" si="41"/>
        <v>#VALUE!</v>
      </c>
      <c r="U207" s="42" t="e">
        <f t="shared" si="42"/>
        <v>#VALUE!</v>
      </c>
      <c r="V207" s="41" t="e">
        <f t="shared" si="43"/>
        <v>#VALUE!</v>
      </c>
      <c r="W207" s="43" t="e">
        <f t="shared" si="44"/>
        <v>#VALUE!</v>
      </c>
      <c r="X207" s="43" t="e">
        <f t="shared" si="45"/>
        <v>#VALUE!</v>
      </c>
    </row>
    <row r="208" spans="1:24" ht="14.25" customHeight="1">
      <c r="A208" s="49"/>
      <c r="B208" s="8">
        <v>6</v>
      </c>
      <c r="C208" s="8">
        <f t="shared" si="28"/>
        <v>3</v>
      </c>
      <c r="D208" s="16" t="s">
        <v>42</v>
      </c>
      <c r="E208" s="16" t="s">
        <v>43</v>
      </c>
      <c r="F208" s="17" t="s">
        <v>59</v>
      </c>
      <c r="G208" s="15" t="s">
        <v>35</v>
      </c>
      <c r="H208" s="17" t="s">
        <v>29</v>
      </c>
      <c r="I208" s="21" t="s">
        <v>36</v>
      </c>
      <c r="J208" s="8" t="s">
        <v>31</v>
      </c>
      <c r="K208" s="8" t="s">
        <v>31</v>
      </c>
      <c r="L208" s="8" t="s">
        <v>31</v>
      </c>
      <c r="M208" s="9" t="s">
        <v>31</v>
      </c>
      <c r="N208" s="9" t="s">
        <v>31</v>
      </c>
      <c r="O208" s="10" t="s">
        <v>31</v>
      </c>
      <c r="P208" s="11" t="s">
        <v>31</v>
      </c>
      <c r="Q208" s="11" t="s">
        <v>31</v>
      </c>
      <c r="R208" s="33" t="s">
        <v>31</v>
      </c>
      <c r="S208" s="37" t="e">
        <f t="shared" si="40"/>
        <v>#VALUE!</v>
      </c>
      <c r="T208" s="37" t="e">
        <f t="shared" si="41"/>
        <v>#VALUE!</v>
      </c>
      <c r="U208" s="42" t="e">
        <f t="shared" si="42"/>
        <v>#VALUE!</v>
      </c>
      <c r="V208" s="41" t="e">
        <f t="shared" si="43"/>
        <v>#VALUE!</v>
      </c>
      <c r="W208" s="43" t="e">
        <f t="shared" si="44"/>
        <v>#VALUE!</v>
      </c>
      <c r="X208" s="43" t="e">
        <f t="shared" si="45"/>
        <v>#VALUE!</v>
      </c>
    </row>
    <row r="209" spans="1:24" ht="14.25" customHeight="1">
      <c r="A209" s="50"/>
      <c r="B209" s="8">
        <v>8</v>
      </c>
      <c r="C209" s="8">
        <f t="shared" si="28"/>
        <v>4</v>
      </c>
      <c r="D209" s="16" t="s">
        <v>42</v>
      </c>
      <c r="E209" s="16" t="s">
        <v>43</v>
      </c>
      <c r="F209" s="17" t="s">
        <v>59</v>
      </c>
      <c r="G209" s="15" t="s">
        <v>35</v>
      </c>
      <c r="H209" s="17" t="s">
        <v>29</v>
      </c>
      <c r="I209" s="21" t="s">
        <v>36</v>
      </c>
      <c r="J209" s="8" t="s">
        <v>31</v>
      </c>
      <c r="K209" s="8" t="s">
        <v>31</v>
      </c>
      <c r="L209" s="8" t="s">
        <v>31</v>
      </c>
      <c r="M209" s="9" t="s">
        <v>31</v>
      </c>
      <c r="N209" s="9" t="s">
        <v>31</v>
      </c>
      <c r="O209" s="10" t="s">
        <v>31</v>
      </c>
      <c r="P209" s="11" t="s">
        <v>31</v>
      </c>
      <c r="Q209" s="11" t="s">
        <v>31</v>
      </c>
      <c r="R209" s="33" t="s">
        <v>31</v>
      </c>
      <c r="S209" s="37" t="e">
        <f t="shared" si="40"/>
        <v>#VALUE!</v>
      </c>
      <c r="T209" s="37" t="e">
        <f t="shared" si="41"/>
        <v>#VALUE!</v>
      </c>
      <c r="U209" s="42" t="e">
        <f t="shared" si="42"/>
        <v>#VALUE!</v>
      </c>
      <c r="V209" s="41" t="e">
        <f t="shared" si="43"/>
        <v>#VALUE!</v>
      </c>
      <c r="W209" s="43" t="e">
        <f t="shared" si="44"/>
        <v>#VALUE!</v>
      </c>
      <c r="X209" s="43" t="e">
        <f t="shared" si="45"/>
        <v>#VALUE!</v>
      </c>
    </row>
    <row r="210" spans="1:24" ht="14.25" customHeight="1">
      <c r="A210" s="45" t="s">
        <v>114</v>
      </c>
      <c r="B210" s="8">
        <v>2.5</v>
      </c>
      <c r="C210" s="8">
        <f t="shared" si="28"/>
        <v>1.25</v>
      </c>
      <c r="D210" s="16" t="s">
        <v>42</v>
      </c>
      <c r="E210" s="16" t="s">
        <v>43</v>
      </c>
      <c r="F210" s="17" t="s">
        <v>112</v>
      </c>
      <c r="G210" s="15" t="s">
        <v>37</v>
      </c>
      <c r="H210" s="17" t="s">
        <v>29</v>
      </c>
      <c r="I210" s="21" t="s">
        <v>36</v>
      </c>
      <c r="J210" s="8">
        <v>82</v>
      </c>
      <c r="K210" s="8">
        <v>57</v>
      </c>
      <c r="L210" s="8">
        <f>(K210-J210)/J210*100</f>
        <v>-30.487804878048781</v>
      </c>
      <c r="M210" s="9">
        <v>2850</v>
      </c>
      <c r="N210" s="9">
        <v>3100</v>
      </c>
      <c r="O210" s="10">
        <f>(N210-M210)/M210*100</f>
        <v>8.7719298245614024</v>
      </c>
      <c r="P210" s="11">
        <v>6</v>
      </c>
      <c r="Q210" s="11">
        <v>3.5</v>
      </c>
      <c r="R210" s="33">
        <f>((Q210-P210)/P210)*100</f>
        <v>-41.666666666666671</v>
      </c>
      <c r="S210" s="37">
        <f t="shared" si="40"/>
        <v>2.9138138523837167</v>
      </c>
      <c r="T210" s="37" t="e">
        <f t="shared" si="41"/>
        <v>#NUM!</v>
      </c>
      <c r="U210" s="42">
        <f t="shared" si="42"/>
        <v>4.4548448600085102</v>
      </c>
      <c r="V210" s="41">
        <f t="shared" si="43"/>
        <v>1.9430951486635273</v>
      </c>
      <c r="W210" s="43">
        <f t="shared" si="44"/>
        <v>1.7781512503836436</v>
      </c>
      <c r="X210" s="43" t="e">
        <f t="shared" si="45"/>
        <v>#NUM!</v>
      </c>
    </row>
    <row r="211" spans="1:24" ht="14.25" customHeight="1">
      <c r="A211" s="49"/>
      <c r="B211" s="8">
        <v>5</v>
      </c>
      <c r="C211" s="8">
        <f t="shared" si="28"/>
        <v>2.5</v>
      </c>
      <c r="D211" s="16" t="s">
        <v>42</v>
      </c>
      <c r="E211" s="16" t="s">
        <v>43</v>
      </c>
      <c r="F211" s="17" t="s">
        <v>112</v>
      </c>
      <c r="G211" s="15" t="s">
        <v>37</v>
      </c>
      <c r="H211" s="17" t="s">
        <v>29</v>
      </c>
      <c r="I211" s="21" t="s">
        <v>36</v>
      </c>
      <c r="J211" s="8">
        <v>82</v>
      </c>
      <c r="K211" s="8">
        <v>52</v>
      </c>
      <c r="L211" s="8">
        <f t="shared" ref="L211:L219" si="48">(K211-J211)/J211*100</f>
        <v>-36.585365853658537</v>
      </c>
      <c r="M211" s="9">
        <v>2850</v>
      </c>
      <c r="N211" s="9">
        <v>3250</v>
      </c>
      <c r="O211" s="10">
        <f t="shared" ref="O211:O219" si="49">(N211-M211)/M211*100</f>
        <v>14.035087719298245</v>
      </c>
      <c r="P211" s="11">
        <v>6</v>
      </c>
      <c r="Q211" s="11">
        <v>2.5</v>
      </c>
      <c r="R211" s="33">
        <f t="shared" ref="R211:R212" si="50">((Q211-P211)/P211)*100</f>
        <v>-58.333333333333336</v>
      </c>
      <c r="S211" s="37">
        <f t="shared" si="40"/>
        <v>2.9138138523837167</v>
      </c>
      <c r="T211" s="37" t="e">
        <f t="shared" si="41"/>
        <v>#NUM!</v>
      </c>
      <c r="U211" s="42">
        <f t="shared" si="42"/>
        <v>4.4548448600085102</v>
      </c>
      <c r="V211" s="41">
        <f t="shared" si="43"/>
        <v>2.1472151313194523</v>
      </c>
      <c r="W211" s="43">
        <f t="shared" si="44"/>
        <v>1.7781512503836436</v>
      </c>
      <c r="X211" s="43" t="e">
        <f t="shared" si="45"/>
        <v>#NUM!</v>
      </c>
    </row>
    <row r="212" spans="1:24" ht="14.25" customHeight="1">
      <c r="A212" s="50"/>
      <c r="B212" s="8">
        <v>10</v>
      </c>
      <c r="C212" s="8">
        <f t="shared" si="28"/>
        <v>5</v>
      </c>
      <c r="D212" s="16" t="s">
        <v>42</v>
      </c>
      <c r="E212" s="16" t="s">
        <v>43</v>
      </c>
      <c r="F212" s="17" t="s">
        <v>112</v>
      </c>
      <c r="G212" s="15" t="s">
        <v>37</v>
      </c>
      <c r="H212" s="17" t="s">
        <v>29</v>
      </c>
      <c r="I212" s="21" t="s">
        <v>36</v>
      </c>
      <c r="J212" s="8">
        <v>82</v>
      </c>
      <c r="K212" s="8">
        <v>48</v>
      </c>
      <c r="L212" s="8">
        <f t="shared" si="48"/>
        <v>-41.463414634146339</v>
      </c>
      <c r="M212" s="9">
        <v>2850</v>
      </c>
      <c r="N212" s="9">
        <v>3550</v>
      </c>
      <c r="O212" s="10">
        <f t="shared" si="49"/>
        <v>24.561403508771928</v>
      </c>
      <c r="P212" s="11">
        <v>6</v>
      </c>
      <c r="Q212" s="11">
        <v>1.5</v>
      </c>
      <c r="R212" s="33">
        <f t="shared" si="50"/>
        <v>-75</v>
      </c>
      <c r="S212" s="37">
        <f t="shared" si="40"/>
        <v>2.9138138523837167</v>
      </c>
      <c r="T212" s="37" t="e">
        <f t="shared" si="41"/>
        <v>#NUM!</v>
      </c>
      <c r="U212" s="42">
        <f t="shared" si="42"/>
        <v>4.4548448600085102</v>
      </c>
      <c r="V212" s="41">
        <f t="shared" si="43"/>
        <v>2.3902531800057467</v>
      </c>
      <c r="W212" s="43">
        <f t="shared" si="44"/>
        <v>1.7781512503836436</v>
      </c>
      <c r="X212" s="43" t="e">
        <f t="shared" si="45"/>
        <v>#NUM!</v>
      </c>
    </row>
    <row r="213" spans="1:24" ht="14.25" customHeight="1">
      <c r="A213" s="45" t="s">
        <v>115</v>
      </c>
      <c r="B213" s="8">
        <v>0.5</v>
      </c>
      <c r="C213" s="8">
        <f t="shared" si="28"/>
        <v>0.25</v>
      </c>
      <c r="D213" s="16" t="s">
        <v>42</v>
      </c>
      <c r="E213" s="16" t="s">
        <v>43</v>
      </c>
      <c r="F213" s="17" t="s">
        <v>59</v>
      </c>
      <c r="G213" s="15" t="s">
        <v>116</v>
      </c>
      <c r="H213" s="17" t="s">
        <v>29</v>
      </c>
      <c r="I213" s="21" t="s">
        <v>36</v>
      </c>
      <c r="J213" s="8">
        <v>2.65</v>
      </c>
      <c r="K213" s="8">
        <v>3.35</v>
      </c>
      <c r="L213" s="8">
        <f t="shared" si="48"/>
        <v>26.415094339622648</v>
      </c>
      <c r="M213" s="9">
        <v>88</v>
      </c>
      <c r="N213" s="9">
        <v>103</v>
      </c>
      <c r="O213" s="10">
        <f t="shared" si="49"/>
        <v>17.045454545454543</v>
      </c>
      <c r="P213" s="11" t="s">
        <v>31</v>
      </c>
      <c r="Q213" s="11" t="s">
        <v>31</v>
      </c>
      <c r="R213" s="33" t="s">
        <v>31</v>
      </c>
      <c r="S213" s="37">
        <f t="shared" si="40"/>
        <v>1.4232458739368079</v>
      </c>
      <c r="T213" s="37">
        <f t="shared" si="41"/>
        <v>2.421852166077449</v>
      </c>
      <c r="U213" s="42">
        <f t="shared" si="42"/>
        <v>2.9444826721501687</v>
      </c>
      <c r="V213" s="41">
        <f t="shared" si="43"/>
        <v>2.2316085869055127</v>
      </c>
      <c r="W213" s="43" t="e">
        <f t="shared" si="44"/>
        <v>#VALUE!</v>
      </c>
      <c r="X213" s="43" t="e">
        <f t="shared" si="45"/>
        <v>#VALUE!</v>
      </c>
    </row>
    <row r="214" spans="1:24" ht="14.25" customHeight="1">
      <c r="A214" s="49"/>
      <c r="B214" s="8">
        <v>1</v>
      </c>
      <c r="C214" s="8">
        <f t="shared" si="28"/>
        <v>0.5</v>
      </c>
      <c r="D214" s="16" t="s">
        <v>42</v>
      </c>
      <c r="E214" s="16" t="s">
        <v>43</v>
      </c>
      <c r="F214" s="17" t="s">
        <v>59</v>
      </c>
      <c r="G214" s="15" t="s">
        <v>116</v>
      </c>
      <c r="H214" s="17" t="s">
        <v>29</v>
      </c>
      <c r="I214" s="21" t="s">
        <v>36</v>
      </c>
      <c r="J214" s="8">
        <v>2.65</v>
      </c>
      <c r="K214" s="8">
        <v>3.1</v>
      </c>
      <c r="L214" s="8">
        <f t="shared" si="48"/>
        <v>16.981132075471706</v>
      </c>
      <c r="M214" s="9">
        <v>88</v>
      </c>
      <c r="N214" s="9">
        <v>92</v>
      </c>
      <c r="O214" s="10">
        <f t="shared" si="49"/>
        <v>4.5454545454545459</v>
      </c>
      <c r="P214" s="11" t="s">
        <v>31</v>
      </c>
      <c r="Q214" s="11" t="s">
        <v>31</v>
      </c>
      <c r="R214" s="33" t="s">
        <v>31</v>
      </c>
      <c r="S214" s="37">
        <f t="shared" si="40"/>
        <v>1.4232458739368079</v>
      </c>
      <c r="T214" s="37">
        <f t="shared" si="41"/>
        <v>2.229966639838536</v>
      </c>
      <c r="U214" s="42">
        <f t="shared" si="42"/>
        <v>2.9444826721501687</v>
      </c>
      <c r="V214" s="41">
        <f t="shared" si="43"/>
        <v>1.6575773191777938</v>
      </c>
      <c r="W214" s="43" t="e">
        <f t="shared" si="44"/>
        <v>#VALUE!</v>
      </c>
      <c r="X214" s="43" t="e">
        <f t="shared" si="45"/>
        <v>#VALUE!</v>
      </c>
    </row>
    <row r="215" spans="1:24" ht="14.25" customHeight="1">
      <c r="A215" s="50"/>
      <c r="B215" s="8">
        <v>3</v>
      </c>
      <c r="C215" s="8">
        <f t="shared" si="28"/>
        <v>1.5</v>
      </c>
      <c r="D215" s="16" t="s">
        <v>42</v>
      </c>
      <c r="E215" s="16" t="s">
        <v>43</v>
      </c>
      <c r="F215" s="17" t="s">
        <v>59</v>
      </c>
      <c r="G215" s="15" t="s">
        <v>116</v>
      </c>
      <c r="H215" s="17" t="s">
        <v>29</v>
      </c>
      <c r="I215" s="21" t="s">
        <v>36</v>
      </c>
      <c r="J215" s="8">
        <v>2.65</v>
      </c>
      <c r="K215" s="8">
        <v>3</v>
      </c>
      <c r="L215" s="8">
        <f t="shared" si="48"/>
        <v>13.207547169811324</v>
      </c>
      <c r="M215" s="9">
        <v>88</v>
      </c>
      <c r="N215" s="9">
        <v>92</v>
      </c>
      <c r="O215" s="10">
        <f t="shared" si="49"/>
        <v>4.5454545454545459</v>
      </c>
      <c r="P215" s="11" t="s">
        <v>31</v>
      </c>
      <c r="Q215" s="11" t="s">
        <v>31</v>
      </c>
      <c r="R215" s="33" t="s">
        <v>31</v>
      </c>
      <c r="S215" s="37">
        <f t="shared" si="40"/>
        <v>1.4232458739368079</v>
      </c>
      <c r="T215" s="37">
        <f t="shared" si="41"/>
        <v>2.1208221704134678</v>
      </c>
      <c r="U215" s="42">
        <f t="shared" si="42"/>
        <v>2.9444826721501687</v>
      </c>
      <c r="V215" s="41">
        <f t="shared" si="43"/>
        <v>1.6575773191777938</v>
      </c>
      <c r="W215" s="43" t="e">
        <f t="shared" si="44"/>
        <v>#VALUE!</v>
      </c>
      <c r="X215" s="43" t="e">
        <f t="shared" si="45"/>
        <v>#VALUE!</v>
      </c>
    </row>
    <row r="216" spans="1:24" ht="14.25" customHeight="1">
      <c r="A216" s="45" t="s">
        <v>117</v>
      </c>
      <c r="B216" s="8" t="s">
        <v>118</v>
      </c>
      <c r="C216" s="8" t="s">
        <v>119</v>
      </c>
      <c r="D216" s="16" t="s">
        <v>42</v>
      </c>
      <c r="E216" s="16" t="s">
        <v>43</v>
      </c>
      <c r="F216" s="17" t="s">
        <v>59</v>
      </c>
      <c r="G216" s="15" t="s">
        <v>37</v>
      </c>
      <c r="H216" s="17" t="s">
        <v>29</v>
      </c>
      <c r="I216" s="21" t="s">
        <v>36</v>
      </c>
      <c r="J216" s="8">
        <v>0.5</v>
      </c>
      <c r="K216" s="8">
        <v>1.22</v>
      </c>
      <c r="L216" s="8">
        <f t="shared" si="48"/>
        <v>144</v>
      </c>
      <c r="M216" s="9">
        <v>27</v>
      </c>
      <c r="N216" s="9">
        <v>51</v>
      </c>
      <c r="O216" s="10">
        <f t="shared" si="49"/>
        <v>88.888888888888886</v>
      </c>
      <c r="P216" s="11" t="s">
        <v>31</v>
      </c>
      <c r="Q216" s="11" t="s">
        <v>31</v>
      </c>
      <c r="R216" s="33" t="s">
        <v>31</v>
      </c>
      <c r="S216" s="37">
        <f t="shared" si="40"/>
        <v>0.69897000433601886</v>
      </c>
      <c r="T216" s="37">
        <f t="shared" si="41"/>
        <v>3.1583624920952498</v>
      </c>
      <c r="U216" s="42">
        <f t="shared" si="42"/>
        <v>2.4313637641589874</v>
      </c>
      <c r="V216" s="41">
        <f t="shared" si="43"/>
        <v>2.9488474775526186</v>
      </c>
      <c r="W216" s="43" t="e">
        <f t="shared" si="44"/>
        <v>#VALUE!</v>
      </c>
      <c r="X216" s="43" t="e">
        <f t="shared" si="45"/>
        <v>#VALUE!</v>
      </c>
    </row>
    <row r="217" spans="1:24" ht="14.25" customHeight="1">
      <c r="A217" s="49"/>
      <c r="B217" s="8">
        <v>1</v>
      </c>
      <c r="C217" s="8">
        <f t="shared" ref="C217:C472" si="51">B217/2</f>
        <v>0.5</v>
      </c>
      <c r="D217" s="16" t="s">
        <v>42</v>
      </c>
      <c r="E217" s="16" t="s">
        <v>43</v>
      </c>
      <c r="F217" s="17" t="s">
        <v>59</v>
      </c>
      <c r="G217" s="15" t="s">
        <v>37</v>
      </c>
      <c r="H217" s="17" t="s">
        <v>29</v>
      </c>
      <c r="I217" s="21" t="s">
        <v>36</v>
      </c>
      <c r="J217" s="8">
        <v>0.5</v>
      </c>
      <c r="K217" s="8">
        <v>1.5</v>
      </c>
      <c r="L217" s="8">
        <f t="shared" si="48"/>
        <v>200</v>
      </c>
      <c r="M217" s="9">
        <v>27</v>
      </c>
      <c r="N217" s="9">
        <v>55</v>
      </c>
      <c r="O217" s="10">
        <f t="shared" si="49"/>
        <v>103.7037037037037</v>
      </c>
      <c r="P217" s="11" t="s">
        <v>31</v>
      </c>
      <c r="Q217" s="11" t="s">
        <v>31</v>
      </c>
      <c r="R217" s="33" t="s">
        <v>31</v>
      </c>
      <c r="S217" s="37">
        <f t="shared" si="40"/>
        <v>0.69897000433601886</v>
      </c>
      <c r="T217" s="37">
        <f t="shared" si="41"/>
        <v>3.3010299956639813</v>
      </c>
      <c r="U217" s="42">
        <f t="shared" si="42"/>
        <v>2.4313637641589874</v>
      </c>
      <c r="V217" s="41">
        <f t="shared" si="43"/>
        <v>3.0157942671832321</v>
      </c>
      <c r="W217" s="43" t="e">
        <f t="shared" si="44"/>
        <v>#VALUE!</v>
      </c>
      <c r="X217" s="43" t="e">
        <f t="shared" si="45"/>
        <v>#VALUE!</v>
      </c>
    </row>
    <row r="218" spans="1:24" ht="14.25" customHeight="1">
      <c r="A218" s="49"/>
      <c r="B218" s="8">
        <v>2</v>
      </c>
      <c r="C218" s="8">
        <f t="shared" si="51"/>
        <v>1</v>
      </c>
      <c r="D218" s="16" t="s">
        <v>42</v>
      </c>
      <c r="E218" s="16" t="s">
        <v>43</v>
      </c>
      <c r="F218" s="17" t="s">
        <v>59</v>
      </c>
      <c r="G218" s="15" t="s">
        <v>37</v>
      </c>
      <c r="H218" s="17" t="s">
        <v>29</v>
      </c>
      <c r="I218" s="21" t="s">
        <v>36</v>
      </c>
      <c r="J218" s="8">
        <v>0.5</v>
      </c>
      <c r="K218" s="8">
        <v>1.42</v>
      </c>
      <c r="L218" s="8">
        <f t="shared" si="48"/>
        <v>184</v>
      </c>
      <c r="M218" s="9">
        <v>27</v>
      </c>
      <c r="N218" s="9">
        <v>45</v>
      </c>
      <c r="O218" s="10">
        <f t="shared" si="49"/>
        <v>66.666666666666657</v>
      </c>
      <c r="P218" s="11" t="s">
        <v>31</v>
      </c>
      <c r="Q218" s="11" t="s">
        <v>31</v>
      </c>
      <c r="R218" s="33" t="s">
        <v>31</v>
      </c>
      <c r="S218" s="37">
        <f t="shared" si="40"/>
        <v>0.69897000433601886</v>
      </c>
      <c r="T218" s="37">
        <f t="shared" si="41"/>
        <v>3.2648178230095364</v>
      </c>
      <c r="U218" s="42">
        <f t="shared" si="42"/>
        <v>2.4313637641589874</v>
      </c>
      <c r="V218" s="41">
        <f t="shared" si="43"/>
        <v>2.8239087409443187</v>
      </c>
      <c r="W218" s="43" t="e">
        <f t="shared" si="44"/>
        <v>#VALUE!</v>
      </c>
      <c r="X218" s="43" t="e">
        <f t="shared" si="45"/>
        <v>#VALUE!</v>
      </c>
    </row>
    <row r="219" spans="1:24" ht="14.25" customHeight="1">
      <c r="A219" s="50"/>
      <c r="B219" s="8">
        <v>4</v>
      </c>
      <c r="C219" s="8">
        <f t="shared" si="51"/>
        <v>2</v>
      </c>
      <c r="D219" s="16" t="s">
        <v>42</v>
      </c>
      <c r="E219" s="16" t="s">
        <v>43</v>
      </c>
      <c r="F219" s="17" t="s">
        <v>59</v>
      </c>
      <c r="G219" s="15" t="s">
        <v>37</v>
      </c>
      <c r="H219" s="17" t="s">
        <v>29</v>
      </c>
      <c r="I219" s="21" t="s">
        <v>36</v>
      </c>
      <c r="J219" s="8">
        <v>0.5</v>
      </c>
      <c r="K219" s="8">
        <v>1.1499999999999999</v>
      </c>
      <c r="L219" s="8">
        <f t="shared" si="48"/>
        <v>129.99999999999997</v>
      </c>
      <c r="M219" s="9">
        <v>27</v>
      </c>
      <c r="N219" s="9">
        <v>36</v>
      </c>
      <c r="O219" s="10">
        <f t="shared" si="49"/>
        <v>33.333333333333329</v>
      </c>
      <c r="P219" s="11" t="s">
        <v>31</v>
      </c>
      <c r="Q219" s="11" t="s">
        <v>31</v>
      </c>
      <c r="R219" s="33" t="s">
        <v>31</v>
      </c>
      <c r="S219" s="37">
        <f t="shared" si="40"/>
        <v>0.69897000433601886</v>
      </c>
      <c r="T219" s="37">
        <f t="shared" si="41"/>
        <v>3.1139433523068365</v>
      </c>
      <c r="U219" s="42">
        <f t="shared" si="42"/>
        <v>2.4313637641589874</v>
      </c>
      <c r="V219" s="41">
        <f t="shared" si="43"/>
        <v>2.5228787452803374</v>
      </c>
      <c r="W219" s="43" t="e">
        <f t="shared" si="44"/>
        <v>#VALUE!</v>
      </c>
      <c r="X219" s="43" t="e">
        <f t="shared" si="45"/>
        <v>#VALUE!</v>
      </c>
    </row>
    <row r="220" spans="1:24" ht="14.25" customHeight="1">
      <c r="A220" s="48" t="s">
        <v>120</v>
      </c>
      <c r="B220" s="8">
        <v>1</v>
      </c>
      <c r="C220" s="8">
        <f t="shared" si="51"/>
        <v>0.5</v>
      </c>
      <c r="D220" s="16" t="s">
        <v>25</v>
      </c>
      <c r="E220" s="16" t="s">
        <v>58</v>
      </c>
      <c r="F220" s="17" t="s">
        <v>59</v>
      </c>
      <c r="G220" s="15" t="s">
        <v>28</v>
      </c>
      <c r="H220" s="17" t="s">
        <v>29</v>
      </c>
      <c r="I220" s="17" t="s">
        <v>36</v>
      </c>
      <c r="J220" s="8">
        <v>1</v>
      </c>
      <c r="K220" s="8">
        <v>1.1000000000000001</v>
      </c>
      <c r="L220" s="8">
        <f t="shared" ref="L220:L283" si="52">(K220-J220)/J220*100</f>
        <v>10.000000000000009</v>
      </c>
      <c r="M220" s="9">
        <v>32.700000000000003</v>
      </c>
      <c r="N220" s="9">
        <v>34</v>
      </c>
      <c r="O220" s="10">
        <f t="shared" ref="O220:O340" si="53">(N220-M220)/M220*100</f>
        <v>3.9755351681957096</v>
      </c>
      <c r="P220" s="11">
        <v>600</v>
      </c>
      <c r="Q220" s="11">
        <v>500</v>
      </c>
      <c r="R220" s="33">
        <f t="shared" ref="R220:R263" si="54">((Q220-P220)/P220)*100</f>
        <v>-16.666666666666664</v>
      </c>
      <c r="S220" s="37">
        <f t="shared" si="40"/>
        <v>1</v>
      </c>
      <c r="T220" s="37">
        <f t="shared" si="41"/>
        <v>2.0000000000000004</v>
      </c>
      <c r="U220" s="42">
        <f t="shared" si="42"/>
        <v>2.514547752660286</v>
      </c>
      <c r="V220" s="41">
        <f t="shared" si="43"/>
        <v>1.5993955996465496</v>
      </c>
      <c r="W220" s="43">
        <f t="shared" si="44"/>
        <v>3.7781512503836434</v>
      </c>
      <c r="X220" s="43" t="e">
        <f t="shared" si="45"/>
        <v>#NUM!</v>
      </c>
    </row>
    <row r="221" spans="1:24" ht="14.25" customHeight="1">
      <c r="A221" s="49"/>
      <c r="B221" s="8">
        <v>2</v>
      </c>
      <c r="C221" s="8">
        <f t="shared" si="51"/>
        <v>1</v>
      </c>
      <c r="D221" s="16" t="s">
        <v>25</v>
      </c>
      <c r="E221" s="16" t="s">
        <v>121</v>
      </c>
      <c r="F221" s="17" t="s">
        <v>59</v>
      </c>
      <c r="G221" s="15" t="s">
        <v>28</v>
      </c>
      <c r="H221" s="17" t="s">
        <v>29</v>
      </c>
      <c r="I221" s="17" t="s">
        <v>36</v>
      </c>
      <c r="J221" s="8">
        <v>1</v>
      </c>
      <c r="K221" s="8">
        <v>1.18</v>
      </c>
      <c r="L221" s="8">
        <f t="shared" si="52"/>
        <v>17.999999999999993</v>
      </c>
      <c r="M221" s="9">
        <v>32.700000000000003</v>
      </c>
      <c r="N221" s="9">
        <v>34.799999999999997</v>
      </c>
      <c r="O221" s="10">
        <f t="shared" si="53"/>
        <v>6.4220183486238351</v>
      </c>
      <c r="P221" s="11">
        <v>600</v>
      </c>
      <c r="Q221" s="11">
        <v>400</v>
      </c>
      <c r="R221" s="33">
        <f t="shared" si="54"/>
        <v>-33.333333333333329</v>
      </c>
      <c r="S221" s="37">
        <f t="shared" si="40"/>
        <v>1</v>
      </c>
      <c r="T221" s="37">
        <f t="shared" si="41"/>
        <v>2.255272505103306</v>
      </c>
      <c r="U221" s="42">
        <f t="shared" si="42"/>
        <v>2.514547752660286</v>
      </c>
      <c r="V221" s="41">
        <f t="shared" si="43"/>
        <v>1.807671542073632</v>
      </c>
      <c r="W221" s="43">
        <f t="shared" si="44"/>
        <v>3.7781512503836434</v>
      </c>
      <c r="X221" s="43" t="e">
        <f t="shared" si="45"/>
        <v>#NUM!</v>
      </c>
    </row>
    <row r="222" spans="1:24" ht="14.25" customHeight="1">
      <c r="A222" s="49"/>
      <c r="B222" s="8">
        <v>3</v>
      </c>
      <c r="C222" s="8">
        <f t="shared" si="51"/>
        <v>1.5</v>
      </c>
      <c r="D222" s="16" t="s">
        <v>42</v>
      </c>
      <c r="E222" s="16" t="s">
        <v>43</v>
      </c>
      <c r="F222" s="17" t="s">
        <v>59</v>
      </c>
      <c r="G222" s="15" t="s">
        <v>28</v>
      </c>
      <c r="H222" s="17" t="s">
        <v>29</v>
      </c>
      <c r="I222" s="17" t="s">
        <v>36</v>
      </c>
      <c r="J222" s="8">
        <v>1</v>
      </c>
      <c r="K222" s="8">
        <v>1.23</v>
      </c>
      <c r="L222" s="8">
        <f t="shared" si="52"/>
        <v>23</v>
      </c>
      <c r="M222" s="9">
        <v>32.700000000000003</v>
      </c>
      <c r="N222" s="9">
        <v>35.5</v>
      </c>
      <c r="O222" s="10">
        <f t="shared" si="53"/>
        <v>8.5626911314984628</v>
      </c>
      <c r="P222" s="11">
        <v>600</v>
      </c>
      <c r="Q222" s="11">
        <v>300</v>
      </c>
      <c r="R222" s="33">
        <f t="shared" si="54"/>
        <v>-50</v>
      </c>
      <c r="S222" s="37">
        <f t="shared" si="40"/>
        <v>1</v>
      </c>
      <c r="T222" s="37">
        <f t="shared" si="41"/>
        <v>2.3617278360175931</v>
      </c>
      <c r="U222" s="42">
        <f t="shared" si="42"/>
        <v>2.514547752660286</v>
      </c>
      <c r="V222" s="41">
        <f t="shared" si="43"/>
        <v>1.9326102786819328</v>
      </c>
      <c r="W222" s="43">
        <f t="shared" si="44"/>
        <v>3.7781512503836434</v>
      </c>
      <c r="X222" s="43" t="e">
        <f t="shared" si="45"/>
        <v>#NUM!</v>
      </c>
    </row>
    <row r="223" spans="1:24" ht="14.25" customHeight="1">
      <c r="A223" s="49"/>
      <c r="B223" s="8">
        <v>4</v>
      </c>
      <c r="C223" s="8">
        <f t="shared" si="51"/>
        <v>2</v>
      </c>
      <c r="D223" s="16" t="s">
        <v>25</v>
      </c>
      <c r="E223" s="16" t="s">
        <v>98</v>
      </c>
      <c r="F223" s="17" t="s">
        <v>59</v>
      </c>
      <c r="G223" s="15" t="s">
        <v>28</v>
      </c>
      <c r="H223" s="17" t="s">
        <v>29</v>
      </c>
      <c r="I223" s="17" t="s">
        <v>36</v>
      </c>
      <c r="J223" s="8">
        <v>1</v>
      </c>
      <c r="K223" s="8">
        <v>1.27</v>
      </c>
      <c r="L223" s="8">
        <f t="shared" si="52"/>
        <v>27</v>
      </c>
      <c r="M223" s="9">
        <v>32.700000000000003</v>
      </c>
      <c r="N223" s="9">
        <v>36</v>
      </c>
      <c r="O223" s="10">
        <f t="shared" si="53"/>
        <v>10.091743119266045</v>
      </c>
      <c r="P223" s="11">
        <v>600</v>
      </c>
      <c r="Q223" s="11">
        <v>250</v>
      </c>
      <c r="R223" s="33">
        <f t="shared" si="54"/>
        <v>-58.333333333333336</v>
      </c>
      <c r="S223" s="37">
        <f t="shared" si="40"/>
        <v>1</v>
      </c>
      <c r="T223" s="37">
        <f t="shared" si="41"/>
        <v>2.4313637641589874</v>
      </c>
      <c r="U223" s="42">
        <f t="shared" si="42"/>
        <v>2.514547752660286</v>
      </c>
      <c r="V223" s="41">
        <f t="shared" si="43"/>
        <v>2.0039661872176011</v>
      </c>
      <c r="W223" s="43">
        <f t="shared" si="44"/>
        <v>3.7781512503836434</v>
      </c>
      <c r="X223" s="43" t="e">
        <f t="shared" si="45"/>
        <v>#NUM!</v>
      </c>
    </row>
    <row r="224" spans="1:24" ht="14.25" customHeight="1">
      <c r="A224" s="49"/>
      <c r="B224" s="8">
        <v>5</v>
      </c>
      <c r="C224" s="8">
        <f t="shared" si="51"/>
        <v>2.5</v>
      </c>
      <c r="D224" s="16" t="s">
        <v>25</v>
      </c>
      <c r="E224" s="16" t="s">
        <v>122</v>
      </c>
      <c r="F224" s="17" t="s">
        <v>59</v>
      </c>
      <c r="G224" s="15" t="s">
        <v>28</v>
      </c>
      <c r="H224" s="17" t="s">
        <v>29</v>
      </c>
      <c r="I224" s="17" t="s">
        <v>36</v>
      </c>
      <c r="J224" s="8">
        <v>1</v>
      </c>
      <c r="K224" s="8">
        <v>1.3</v>
      </c>
      <c r="L224" s="8">
        <f t="shared" si="52"/>
        <v>30.000000000000004</v>
      </c>
      <c r="M224" s="9">
        <v>32.700000000000003</v>
      </c>
      <c r="N224" s="9">
        <v>36.5</v>
      </c>
      <c r="O224" s="10">
        <f t="shared" si="53"/>
        <v>11.620795107033629</v>
      </c>
      <c r="P224" s="11">
        <v>600</v>
      </c>
      <c r="Q224" s="11">
        <v>200</v>
      </c>
      <c r="R224" s="33">
        <f t="shared" si="54"/>
        <v>-66.666666666666657</v>
      </c>
      <c r="S224" s="37">
        <f t="shared" si="40"/>
        <v>1</v>
      </c>
      <c r="T224" s="37">
        <f t="shared" si="41"/>
        <v>2.4771212547196626</v>
      </c>
      <c r="U224" s="42">
        <f t="shared" si="42"/>
        <v>2.514547752660286</v>
      </c>
      <c r="V224" s="41">
        <f t="shared" si="43"/>
        <v>2.0652358439565237</v>
      </c>
      <c r="W224" s="43">
        <f t="shared" si="44"/>
        <v>3.7781512503836434</v>
      </c>
      <c r="X224" s="43" t="e">
        <f t="shared" si="45"/>
        <v>#NUM!</v>
      </c>
    </row>
    <row r="225" spans="1:24" ht="14.25" customHeight="1">
      <c r="A225" s="49"/>
      <c r="B225" s="8">
        <v>10</v>
      </c>
      <c r="C225" s="8">
        <f t="shared" si="51"/>
        <v>5</v>
      </c>
      <c r="D225" s="16" t="s">
        <v>42</v>
      </c>
      <c r="E225" s="16" t="s">
        <v>43</v>
      </c>
      <c r="F225" s="17" t="s">
        <v>59</v>
      </c>
      <c r="G225" s="15" t="s">
        <v>28</v>
      </c>
      <c r="H225" s="17" t="s">
        <v>29</v>
      </c>
      <c r="I225" s="17" t="s">
        <v>36</v>
      </c>
      <c r="J225" s="8">
        <v>1</v>
      </c>
      <c r="K225" s="8">
        <v>1.32</v>
      </c>
      <c r="L225" s="8">
        <f t="shared" si="52"/>
        <v>32.000000000000007</v>
      </c>
      <c r="M225" s="9">
        <v>32.700000000000003</v>
      </c>
      <c r="N225" s="9">
        <v>36</v>
      </c>
      <c r="O225" s="10">
        <f t="shared" si="53"/>
        <v>10.091743119266045</v>
      </c>
      <c r="P225" s="11">
        <v>600</v>
      </c>
      <c r="Q225" s="11">
        <v>150</v>
      </c>
      <c r="R225" s="33">
        <f t="shared" si="54"/>
        <v>-75</v>
      </c>
      <c r="S225" s="37">
        <f t="shared" si="40"/>
        <v>1</v>
      </c>
      <c r="T225" s="37">
        <f t="shared" si="41"/>
        <v>2.5051499783199063</v>
      </c>
      <c r="U225" s="42">
        <f t="shared" si="42"/>
        <v>2.514547752660286</v>
      </c>
      <c r="V225" s="41">
        <f t="shared" si="43"/>
        <v>2.0039661872176011</v>
      </c>
      <c r="W225" s="43">
        <f t="shared" si="44"/>
        <v>3.7781512503836434</v>
      </c>
      <c r="X225" s="43" t="e">
        <f t="shared" si="45"/>
        <v>#NUM!</v>
      </c>
    </row>
    <row r="226" spans="1:24" ht="14.25" customHeight="1">
      <c r="A226" s="49"/>
      <c r="B226" s="8">
        <v>15</v>
      </c>
      <c r="C226" s="8">
        <f t="shared" si="51"/>
        <v>7.5</v>
      </c>
      <c r="D226" s="16" t="s">
        <v>25</v>
      </c>
      <c r="E226" s="16" t="s">
        <v>121</v>
      </c>
      <c r="F226" s="17" t="s">
        <v>59</v>
      </c>
      <c r="G226" s="15" t="s">
        <v>28</v>
      </c>
      <c r="H226" s="17" t="s">
        <v>29</v>
      </c>
      <c r="I226" s="17" t="s">
        <v>36</v>
      </c>
      <c r="J226" s="8">
        <v>1</v>
      </c>
      <c r="K226" s="8">
        <v>1.28</v>
      </c>
      <c r="L226" s="8">
        <f t="shared" si="52"/>
        <v>28.000000000000004</v>
      </c>
      <c r="M226" s="9">
        <v>32.700000000000003</v>
      </c>
      <c r="N226" s="9">
        <v>35</v>
      </c>
      <c r="O226" s="10">
        <f t="shared" si="53"/>
        <v>7.033639143730877</v>
      </c>
      <c r="P226" s="11">
        <v>600</v>
      </c>
      <c r="Q226" s="11">
        <v>100</v>
      </c>
      <c r="R226" s="33">
        <f t="shared" si="54"/>
        <v>-83.333333333333343</v>
      </c>
      <c r="S226" s="37">
        <f t="shared" si="40"/>
        <v>1</v>
      </c>
      <c r="T226" s="37">
        <f t="shared" si="41"/>
        <v>2.4471580313422194</v>
      </c>
      <c r="U226" s="42">
        <f t="shared" si="42"/>
        <v>2.514547752660286</v>
      </c>
      <c r="V226" s="41">
        <f t="shared" si="43"/>
        <v>1.8471800833573062</v>
      </c>
      <c r="W226" s="43">
        <f t="shared" si="44"/>
        <v>3.7781512503836434</v>
      </c>
      <c r="X226" s="43" t="e">
        <f t="shared" si="45"/>
        <v>#NUM!</v>
      </c>
    </row>
    <row r="227" spans="1:24" ht="14.25" customHeight="1">
      <c r="A227" s="49"/>
      <c r="B227" s="8">
        <v>1</v>
      </c>
      <c r="C227" s="8">
        <f t="shared" si="51"/>
        <v>0.5</v>
      </c>
      <c r="D227" s="16" t="s">
        <v>25</v>
      </c>
      <c r="E227" s="16" t="s">
        <v>48</v>
      </c>
      <c r="F227" s="17" t="s">
        <v>59</v>
      </c>
      <c r="G227" s="15" t="s">
        <v>28</v>
      </c>
      <c r="H227" s="17" t="s">
        <v>29</v>
      </c>
      <c r="I227" s="17" t="s">
        <v>36</v>
      </c>
      <c r="J227" s="8">
        <v>1.17</v>
      </c>
      <c r="K227" s="8">
        <v>1.49</v>
      </c>
      <c r="L227" s="8">
        <f t="shared" si="52"/>
        <v>27.35042735042736</v>
      </c>
      <c r="M227" s="9">
        <v>32</v>
      </c>
      <c r="N227" s="9">
        <v>32</v>
      </c>
      <c r="O227" s="10">
        <f t="shared" si="53"/>
        <v>0</v>
      </c>
      <c r="P227" s="11">
        <v>400</v>
      </c>
      <c r="Q227" s="11">
        <v>300</v>
      </c>
      <c r="R227" s="33">
        <f t="shared" si="54"/>
        <v>-25</v>
      </c>
      <c r="S227" s="37">
        <f t="shared" si="40"/>
        <v>1.0681858617461617</v>
      </c>
      <c r="T227" s="37">
        <f t="shared" si="41"/>
        <v>2.4369641165737446</v>
      </c>
      <c r="U227" s="42">
        <f t="shared" si="42"/>
        <v>2.5051499783199058</v>
      </c>
      <c r="V227" s="41" t="e">
        <f t="shared" si="43"/>
        <v>#NUM!</v>
      </c>
      <c r="W227" s="43">
        <f t="shared" si="44"/>
        <v>3.6020599913279625</v>
      </c>
      <c r="X227" s="43" t="e">
        <f t="shared" si="45"/>
        <v>#NUM!</v>
      </c>
    </row>
    <row r="228" spans="1:24" ht="14.25" customHeight="1">
      <c r="A228" s="49"/>
      <c r="B228" s="8">
        <v>3</v>
      </c>
      <c r="C228" s="8">
        <f t="shared" si="51"/>
        <v>1.5</v>
      </c>
      <c r="D228" s="16" t="s">
        <v>25</v>
      </c>
      <c r="E228" s="16" t="s">
        <v>48</v>
      </c>
      <c r="F228" s="17" t="s">
        <v>59</v>
      </c>
      <c r="G228" s="15" t="s">
        <v>28</v>
      </c>
      <c r="H228" s="17" t="s">
        <v>29</v>
      </c>
      <c r="I228" s="17" t="s">
        <v>36</v>
      </c>
      <c r="J228" s="8">
        <v>1.17</v>
      </c>
      <c r="K228" s="8">
        <v>1.7</v>
      </c>
      <c r="L228" s="8">
        <f t="shared" si="52"/>
        <v>45.299145299145302</v>
      </c>
      <c r="M228" s="9">
        <v>32</v>
      </c>
      <c r="N228" s="9">
        <v>33</v>
      </c>
      <c r="O228" s="10">
        <f t="shared" si="53"/>
        <v>3.125</v>
      </c>
      <c r="P228" s="11">
        <v>400</v>
      </c>
      <c r="Q228" s="11">
        <v>200</v>
      </c>
      <c r="R228" s="33">
        <f t="shared" si="54"/>
        <v>-50</v>
      </c>
      <c r="S228" s="37">
        <f t="shared" si="40"/>
        <v>1.0681858617461617</v>
      </c>
      <c r="T228" s="37">
        <f t="shared" si="41"/>
        <v>2.6560900078546275</v>
      </c>
      <c r="U228" s="42">
        <f t="shared" si="42"/>
        <v>2.5051499783199058</v>
      </c>
      <c r="V228" s="41">
        <f t="shared" si="43"/>
        <v>1.494850021680094</v>
      </c>
      <c r="W228" s="43">
        <f t="shared" si="44"/>
        <v>3.6020599913279625</v>
      </c>
      <c r="X228" s="43" t="e">
        <f t="shared" si="45"/>
        <v>#NUM!</v>
      </c>
    </row>
    <row r="229" spans="1:24" ht="14.25" customHeight="1">
      <c r="A229" s="49"/>
      <c r="B229" s="8">
        <v>5</v>
      </c>
      <c r="C229" s="8">
        <f t="shared" si="51"/>
        <v>2.5</v>
      </c>
      <c r="D229" s="16" t="s">
        <v>25</v>
      </c>
      <c r="E229" s="16" t="s">
        <v>48</v>
      </c>
      <c r="F229" s="17" t="s">
        <v>59</v>
      </c>
      <c r="G229" s="15" t="s">
        <v>28</v>
      </c>
      <c r="H229" s="17" t="s">
        <v>29</v>
      </c>
      <c r="I229" s="17" t="s">
        <v>36</v>
      </c>
      <c r="J229" s="8">
        <v>1.17</v>
      </c>
      <c r="K229" s="8">
        <v>1.84</v>
      </c>
      <c r="L229" s="8">
        <f t="shared" si="52"/>
        <v>57.264957264957282</v>
      </c>
      <c r="M229" s="9">
        <v>32</v>
      </c>
      <c r="N229" s="9">
        <v>33.9</v>
      </c>
      <c r="O229" s="10">
        <f t="shared" si="53"/>
        <v>5.9374999999999956</v>
      </c>
      <c r="P229" s="11">
        <v>400</v>
      </c>
      <c r="Q229" s="11">
        <v>100</v>
      </c>
      <c r="R229" s="33">
        <f t="shared" si="54"/>
        <v>-75</v>
      </c>
      <c r="S229" s="37">
        <f t="shared" si="40"/>
        <v>1.0681858617461617</v>
      </c>
      <c r="T229" s="37">
        <f t="shared" si="41"/>
        <v>2.7578889409546647</v>
      </c>
      <c r="U229" s="42">
        <f t="shared" si="42"/>
        <v>2.5051499783199058</v>
      </c>
      <c r="V229" s="41">
        <f t="shared" si="43"/>
        <v>1.7736036226329226</v>
      </c>
      <c r="W229" s="43">
        <f t="shared" si="44"/>
        <v>3.6020599913279625</v>
      </c>
      <c r="X229" s="43" t="e">
        <f t="shared" si="45"/>
        <v>#NUM!</v>
      </c>
    </row>
    <row r="230" spans="1:24" ht="14.25" customHeight="1">
      <c r="A230" s="49"/>
      <c r="B230" s="8">
        <v>1</v>
      </c>
      <c r="C230" s="8">
        <f t="shared" si="51"/>
        <v>0.5</v>
      </c>
      <c r="D230" s="16" t="s">
        <v>61</v>
      </c>
      <c r="E230" s="16" t="s">
        <v>123</v>
      </c>
      <c r="F230" s="17" t="s">
        <v>59</v>
      </c>
      <c r="G230" s="15" t="s">
        <v>28</v>
      </c>
      <c r="H230" s="17" t="s">
        <v>29</v>
      </c>
      <c r="I230" s="17" t="s">
        <v>36</v>
      </c>
      <c r="J230" s="8">
        <v>2.78</v>
      </c>
      <c r="K230" s="8">
        <v>3.1</v>
      </c>
      <c r="L230" s="8">
        <f t="shared" si="52"/>
        <v>11.510791366906487</v>
      </c>
      <c r="M230" s="9">
        <v>46</v>
      </c>
      <c r="N230" s="9">
        <v>47.5</v>
      </c>
      <c r="O230" s="10">
        <f t="shared" si="53"/>
        <v>3.2608695652173911</v>
      </c>
      <c r="P230" s="11">
        <v>2</v>
      </c>
      <c r="Q230" s="11">
        <v>1.8</v>
      </c>
      <c r="R230" s="33">
        <f t="shared" si="54"/>
        <v>-9.9999999999999982</v>
      </c>
      <c r="S230" s="37">
        <f t="shared" si="40"/>
        <v>1.4440447959180762</v>
      </c>
      <c r="T230" s="37">
        <f t="shared" si="41"/>
        <v>2.06110518240183</v>
      </c>
      <c r="U230" s="42">
        <f t="shared" si="42"/>
        <v>2.6627578316815739</v>
      </c>
      <c r="V230" s="41">
        <f t="shared" si="43"/>
        <v>1.5133334273741073</v>
      </c>
      <c r="W230" s="43">
        <f t="shared" si="44"/>
        <v>1.3010299956639813</v>
      </c>
      <c r="X230" s="43" t="e">
        <f t="shared" si="45"/>
        <v>#NUM!</v>
      </c>
    </row>
    <row r="231" spans="1:24" ht="14.25" customHeight="1">
      <c r="A231" s="49"/>
      <c r="B231" s="8">
        <v>3</v>
      </c>
      <c r="C231" s="8">
        <f t="shared" si="51"/>
        <v>1.5</v>
      </c>
      <c r="D231" s="16" t="s">
        <v>61</v>
      </c>
      <c r="E231" s="16" t="s">
        <v>123</v>
      </c>
      <c r="F231" s="17" t="s">
        <v>59</v>
      </c>
      <c r="G231" s="15" t="s">
        <v>28</v>
      </c>
      <c r="H231" s="17" t="s">
        <v>29</v>
      </c>
      <c r="I231" s="17" t="s">
        <v>36</v>
      </c>
      <c r="J231" s="8">
        <v>2.78</v>
      </c>
      <c r="K231" s="8">
        <v>3.35</v>
      </c>
      <c r="L231" s="8">
        <f t="shared" si="52"/>
        <v>20.503597122302171</v>
      </c>
      <c r="M231" s="9">
        <v>46</v>
      </c>
      <c r="N231" s="9">
        <v>48.5</v>
      </c>
      <c r="O231" s="10">
        <f t="shared" si="53"/>
        <v>5.4347826086956523</v>
      </c>
      <c r="P231" s="11">
        <v>2</v>
      </c>
      <c r="Q231" s="11">
        <v>1.5</v>
      </c>
      <c r="R231" s="33">
        <f t="shared" si="54"/>
        <v>-25</v>
      </c>
      <c r="S231" s="37">
        <f t="shared" si="40"/>
        <v>1.4440447959180762</v>
      </c>
      <c r="T231" s="37">
        <f t="shared" si="41"/>
        <v>2.3118300597544152</v>
      </c>
      <c r="U231" s="42">
        <f t="shared" si="42"/>
        <v>2.6627578316815739</v>
      </c>
      <c r="V231" s="41">
        <f t="shared" si="43"/>
        <v>1.7351821769904636</v>
      </c>
      <c r="W231" s="43">
        <f t="shared" si="44"/>
        <v>1.3010299956639813</v>
      </c>
      <c r="X231" s="43" t="e">
        <f t="shared" si="45"/>
        <v>#NUM!</v>
      </c>
    </row>
    <row r="232" spans="1:24" ht="14.25" customHeight="1">
      <c r="A232" s="49"/>
      <c r="B232" s="8">
        <v>5</v>
      </c>
      <c r="C232" s="8">
        <f t="shared" si="51"/>
        <v>2.5</v>
      </c>
      <c r="D232" s="16" t="s">
        <v>61</v>
      </c>
      <c r="E232" s="16" t="s">
        <v>123</v>
      </c>
      <c r="F232" s="17" t="s">
        <v>59</v>
      </c>
      <c r="G232" s="15" t="s">
        <v>28</v>
      </c>
      <c r="H232" s="17" t="s">
        <v>29</v>
      </c>
      <c r="I232" s="17" t="s">
        <v>36</v>
      </c>
      <c r="J232" s="8">
        <v>2.78</v>
      </c>
      <c r="K232" s="8">
        <v>3.5</v>
      </c>
      <c r="L232" s="8">
        <f t="shared" si="52"/>
        <v>25.899280575539578</v>
      </c>
      <c r="M232" s="9">
        <v>46</v>
      </c>
      <c r="N232" s="9">
        <v>49</v>
      </c>
      <c r="O232" s="10">
        <f t="shared" si="53"/>
        <v>6.5217391304347823</v>
      </c>
      <c r="P232" s="11">
        <v>2</v>
      </c>
      <c r="Q232" s="11">
        <v>1</v>
      </c>
      <c r="R232" s="33">
        <f t="shared" si="54"/>
        <v>-50</v>
      </c>
      <c r="S232" s="37">
        <f t="shared" si="40"/>
        <v>1.4440447959180762</v>
      </c>
      <c r="T232" s="37">
        <f t="shared" si="41"/>
        <v>2.4132877005131923</v>
      </c>
      <c r="U232" s="42">
        <f t="shared" si="42"/>
        <v>2.6627578316815739</v>
      </c>
      <c r="V232" s="41">
        <f t="shared" si="43"/>
        <v>1.8143634230380883</v>
      </c>
      <c r="W232" s="43">
        <f t="shared" si="44"/>
        <v>1.3010299956639813</v>
      </c>
      <c r="X232" s="43" t="e">
        <f t="shared" si="45"/>
        <v>#NUM!</v>
      </c>
    </row>
    <row r="233" spans="1:24" ht="14.25" customHeight="1">
      <c r="A233" s="49"/>
      <c r="B233" s="8">
        <v>10</v>
      </c>
      <c r="C233" s="8">
        <f t="shared" si="51"/>
        <v>5</v>
      </c>
      <c r="D233" s="16" t="s">
        <v>25</v>
      </c>
      <c r="E233" s="16" t="s">
        <v>124</v>
      </c>
      <c r="F233" s="17" t="s">
        <v>59</v>
      </c>
      <c r="G233" s="15" t="s">
        <v>28</v>
      </c>
      <c r="H233" s="17" t="s">
        <v>29</v>
      </c>
      <c r="I233" s="17" t="s">
        <v>36</v>
      </c>
      <c r="J233" s="8">
        <v>2.78</v>
      </c>
      <c r="K233" s="8">
        <v>3.55</v>
      </c>
      <c r="L233" s="8">
        <f t="shared" si="52"/>
        <v>27.697841726618705</v>
      </c>
      <c r="M233" s="9">
        <v>46</v>
      </c>
      <c r="N233" s="9">
        <v>48</v>
      </c>
      <c r="O233" s="10">
        <f t="shared" si="53"/>
        <v>4.3478260869565215</v>
      </c>
      <c r="P233" s="11">
        <v>2</v>
      </c>
      <c r="Q233" s="11">
        <v>0.7</v>
      </c>
      <c r="R233" s="33">
        <f t="shared" si="54"/>
        <v>-65</v>
      </c>
      <c r="S233" s="37">
        <f t="shared" si="40"/>
        <v>1.4440447959180762</v>
      </c>
      <c r="T233" s="37">
        <f t="shared" si="41"/>
        <v>2.4424459292544056</v>
      </c>
      <c r="U233" s="42">
        <f t="shared" si="42"/>
        <v>2.6627578316815739</v>
      </c>
      <c r="V233" s="41">
        <f t="shared" si="43"/>
        <v>1.6382721639824072</v>
      </c>
      <c r="W233" s="43">
        <f t="shared" si="44"/>
        <v>1.3010299956639813</v>
      </c>
      <c r="X233" s="43" t="e">
        <f t="shared" si="45"/>
        <v>#NUM!</v>
      </c>
    </row>
    <row r="234" spans="1:24" ht="14.25" customHeight="1">
      <c r="A234" s="49"/>
      <c r="B234" s="8">
        <v>15</v>
      </c>
      <c r="C234" s="8">
        <f t="shared" si="51"/>
        <v>7.5</v>
      </c>
      <c r="D234" s="16" t="s">
        <v>25</v>
      </c>
      <c r="E234" s="16" t="s">
        <v>124</v>
      </c>
      <c r="F234" s="17" t="s">
        <v>59</v>
      </c>
      <c r="G234" s="15" t="s">
        <v>28</v>
      </c>
      <c r="H234" s="17" t="s">
        <v>29</v>
      </c>
      <c r="I234" s="17" t="s">
        <v>36</v>
      </c>
      <c r="J234" s="8">
        <v>2.78</v>
      </c>
      <c r="K234" s="8">
        <v>3.52</v>
      </c>
      <c r="L234" s="8">
        <f t="shared" si="52"/>
        <v>26.618705035971235</v>
      </c>
      <c r="M234" s="9">
        <v>46</v>
      </c>
      <c r="N234" s="9">
        <v>47</v>
      </c>
      <c r="O234" s="10">
        <f t="shared" si="53"/>
        <v>2.1739130434782608</v>
      </c>
      <c r="P234" s="11">
        <v>2</v>
      </c>
      <c r="Q234" s="11">
        <v>0.5</v>
      </c>
      <c r="R234" s="33">
        <f t="shared" si="54"/>
        <v>-75</v>
      </c>
      <c r="S234" s="37">
        <f t="shared" si="40"/>
        <v>1.4440447959180762</v>
      </c>
      <c r="T234" s="37">
        <f t="shared" si="41"/>
        <v>2.4251869238129</v>
      </c>
      <c r="U234" s="42">
        <f t="shared" si="42"/>
        <v>2.6627578316815739</v>
      </c>
      <c r="V234" s="41">
        <f t="shared" si="43"/>
        <v>1.3372421683184259</v>
      </c>
      <c r="W234" s="43">
        <f t="shared" si="44"/>
        <v>1.3010299956639813</v>
      </c>
      <c r="X234" s="43" t="e">
        <f t="shared" si="45"/>
        <v>#NUM!</v>
      </c>
    </row>
    <row r="235" spans="1:24" ht="14.25" customHeight="1">
      <c r="A235" s="49"/>
      <c r="B235" s="8">
        <v>5</v>
      </c>
      <c r="C235" s="8">
        <f t="shared" si="51"/>
        <v>2.5</v>
      </c>
      <c r="D235" s="16" t="s">
        <v>25</v>
      </c>
      <c r="E235" s="16" t="s">
        <v>125</v>
      </c>
      <c r="F235" s="17" t="s">
        <v>59</v>
      </c>
      <c r="G235" s="15" t="s">
        <v>28</v>
      </c>
      <c r="H235" s="17" t="s">
        <v>29</v>
      </c>
      <c r="I235" s="17" t="s">
        <v>36</v>
      </c>
      <c r="J235" s="8">
        <v>2.7</v>
      </c>
      <c r="K235" s="8">
        <v>4</v>
      </c>
      <c r="L235" s="8">
        <f t="shared" si="52"/>
        <v>48.148148148148138</v>
      </c>
      <c r="M235" s="9">
        <v>65</v>
      </c>
      <c r="N235" s="9">
        <v>85</v>
      </c>
      <c r="O235" s="10">
        <f t="shared" si="53"/>
        <v>30.76923076923077</v>
      </c>
      <c r="P235" s="11">
        <v>70</v>
      </c>
      <c r="Q235" s="11">
        <v>10</v>
      </c>
      <c r="R235" s="33">
        <f t="shared" si="54"/>
        <v>-85.714285714285708</v>
      </c>
      <c r="S235" s="37">
        <f t="shared" si="40"/>
        <v>1.4313637641589874</v>
      </c>
      <c r="T235" s="37">
        <f t="shared" si="41"/>
        <v>2.6825795881478496</v>
      </c>
      <c r="U235" s="42">
        <f t="shared" si="42"/>
        <v>2.8129133566428557</v>
      </c>
      <c r="V235" s="41">
        <f t="shared" si="43"/>
        <v>2.4881166390211256</v>
      </c>
      <c r="W235" s="43">
        <f t="shared" si="44"/>
        <v>2.8450980400142569</v>
      </c>
      <c r="X235" s="43" t="e">
        <f t="shared" si="45"/>
        <v>#NUM!</v>
      </c>
    </row>
    <row r="236" spans="1:24" ht="14.25" customHeight="1">
      <c r="A236" s="49"/>
      <c r="B236" s="8">
        <v>1</v>
      </c>
      <c r="C236" s="8">
        <f t="shared" si="51"/>
        <v>0.5</v>
      </c>
      <c r="D236" s="16" t="s">
        <v>25</v>
      </c>
      <c r="E236" s="16" t="s">
        <v>58</v>
      </c>
      <c r="F236" s="17" t="s">
        <v>59</v>
      </c>
      <c r="G236" s="15" t="s">
        <v>28</v>
      </c>
      <c r="H236" s="17" t="s">
        <v>29</v>
      </c>
      <c r="I236" s="17" t="s">
        <v>36</v>
      </c>
      <c r="J236" s="8">
        <v>2.7</v>
      </c>
      <c r="K236" s="8">
        <v>2.9</v>
      </c>
      <c r="L236" s="8">
        <f t="shared" si="52"/>
        <v>7.4074074074073977</v>
      </c>
      <c r="M236" s="9">
        <v>60</v>
      </c>
      <c r="N236" s="9">
        <v>61.5</v>
      </c>
      <c r="O236" s="10">
        <f t="shared" si="53"/>
        <v>2.5</v>
      </c>
      <c r="P236" s="11">
        <v>5</v>
      </c>
      <c r="Q236" s="11">
        <v>4.5</v>
      </c>
      <c r="R236" s="33">
        <f t="shared" si="54"/>
        <v>-10</v>
      </c>
      <c r="S236" s="37">
        <f t="shared" si="40"/>
        <v>1.4313637641589874</v>
      </c>
      <c r="T236" s="37">
        <f t="shared" si="41"/>
        <v>1.8696662315049932</v>
      </c>
      <c r="U236" s="42">
        <f t="shared" si="42"/>
        <v>2.7781512503836434</v>
      </c>
      <c r="V236" s="41">
        <f t="shared" si="43"/>
        <v>1.3979400086720377</v>
      </c>
      <c r="W236" s="43">
        <f t="shared" si="44"/>
        <v>1.6989700043360187</v>
      </c>
      <c r="X236" s="43" t="e">
        <f t="shared" si="45"/>
        <v>#NUM!</v>
      </c>
    </row>
    <row r="237" spans="1:24" ht="14.25" customHeight="1">
      <c r="A237" s="49"/>
      <c r="B237" s="8">
        <v>3</v>
      </c>
      <c r="C237" s="8">
        <f t="shared" si="51"/>
        <v>1.5</v>
      </c>
      <c r="D237" s="16" t="s">
        <v>25</v>
      </c>
      <c r="E237" s="16" t="s">
        <v>58</v>
      </c>
      <c r="F237" s="17" t="s">
        <v>59</v>
      </c>
      <c r="G237" s="15" t="s">
        <v>28</v>
      </c>
      <c r="H237" s="17" t="s">
        <v>29</v>
      </c>
      <c r="I237" s="17" t="s">
        <v>36</v>
      </c>
      <c r="J237" s="8">
        <v>2.7</v>
      </c>
      <c r="K237" s="8">
        <v>3.1</v>
      </c>
      <c r="L237" s="8">
        <f t="shared" si="52"/>
        <v>14.814814814814811</v>
      </c>
      <c r="M237" s="9">
        <v>60</v>
      </c>
      <c r="N237" s="9">
        <v>62.5</v>
      </c>
      <c r="O237" s="10">
        <f t="shared" si="53"/>
        <v>4.1666666666666661</v>
      </c>
      <c r="P237" s="11">
        <v>5</v>
      </c>
      <c r="Q237" s="11">
        <v>3.5</v>
      </c>
      <c r="R237" s="33">
        <f t="shared" si="54"/>
        <v>-30</v>
      </c>
      <c r="S237" s="37">
        <f t="shared" si="40"/>
        <v>1.4313637641589874</v>
      </c>
      <c r="T237" s="37">
        <f t="shared" si="41"/>
        <v>2.1706962271689751</v>
      </c>
      <c r="U237" s="42">
        <f t="shared" si="42"/>
        <v>2.7781512503836434</v>
      </c>
      <c r="V237" s="41">
        <f t="shared" si="43"/>
        <v>1.6197887582883939</v>
      </c>
      <c r="W237" s="43">
        <f t="shared" si="44"/>
        <v>1.6989700043360187</v>
      </c>
      <c r="X237" s="43" t="e">
        <f t="shared" si="45"/>
        <v>#NUM!</v>
      </c>
    </row>
    <row r="238" spans="1:24" ht="14.25" customHeight="1">
      <c r="A238" s="49"/>
      <c r="B238" s="8">
        <v>5</v>
      </c>
      <c r="C238" s="8">
        <f t="shared" si="51"/>
        <v>2.5</v>
      </c>
      <c r="D238" s="16" t="s">
        <v>25</v>
      </c>
      <c r="E238" s="16" t="s">
        <v>58</v>
      </c>
      <c r="F238" s="17" t="s">
        <v>59</v>
      </c>
      <c r="G238" s="15" t="s">
        <v>28</v>
      </c>
      <c r="H238" s="17" t="s">
        <v>29</v>
      </c>
      <c r="I238" s="17" t="s">
        <v>36</v>
      </c>
      <c r="J238" s="8">
        <v>2.7</v>
      </c>
      <c r="K238" s="8">
        <v>3.2</v>
      </c>
      <c r="L238" s="8">
        <f t="shared" si="52"/>
        <v>18.518518518518519</v>
      </c>
      <c r="M238" s="9">
        <v>60</v>
      </c>
      <c r="N238" s="9">
        <v>63</v>
      </c>
      <c r="O238" s="10">
        <f t="shared" si="53"/>
        <v>5</v>
      </c>
      <c r="P238" s="11">
        <v>5</v>
      </c>
      <c r="Q238" s="11">
        <v>2.5</v>
      </c>
      <c r="R238" s="33">
        <f t="shared" si="54"/>
        <v>-50</v>
      </c>
      <c r="S238" s="37">
        <f t="shared" si="40"/>
        <v>1.4313637641589874</v>
      </c>
      <c r="T238" s="37">
        <f t="shared" si="41"/>
        <v>2.2676062401770314</v>
      </c>
      <c r="U238" s="42">
        <f t="shared" si="42"/>
        <v>2.7781512503836434</v>
      </c>
      <c r="V238" s="41">
        <f t="shared" si="43"/>
        <v>1.6989700043360187</v>
      </c>
      <c r="W238" s="43">
        <f t="shared" si="44"/>
        <v>1.6989700043360187</v>
      </c>
      <c r="X238" s="43" t="e">
        <f t="shared" si="45"/>
        <v>#NUM!</v>
      </c>
    </row>
    <row r="239" spans="1:24" ht="14.25" customHeight="1">
      <c r="A239" s="49"/>
      <c r="B239" s="8">
        <v>5</v>
      </c>
      <c r="C239" s="8">
        <f t="shared" si="51"/>
        <v>2.5</v>
      </c>
      <c r="D239" s="16" t="s">
        <v>42</v>
      </c>
      <c r="E239" s="16" t="s">
        <v>58</v>
      </c>
      <c r="F239" s="17" t="s">
        <v>59</v>
      </c>
      <c r="G239" s="15" t="s">
        <v>28</v>
      </c>
      <c r="H239" s="17" t="s">
        <v>29</v>
      </c>
      <c r="I239" s="17" t="s">
        <v>36</v>
      </c>
      <c r="J239" s="8">
        <v>2.8</v>
      </c>
      <c r="K239" s="8">
        <v>3.6</v>
      </c>
      <c r="L239" s="8">
        <f t="shared" si="52"/>
        <v>28.57142857142858</v>
      </c>
      <c r="M239" s="9">
        <v>70</v>
      </c>
      <c r="N239" s="9">
        <v>75</v>
      </c>
      <c r="O239" s="10">
        <f t="shared" si="53"/>
        <v>7.1428571428571423</v>
      </c>
      <c r="P239" s="11">
        <v>150</v>
      </c>
      <c r="Q239" s="11">
        <v>60</v>
      </c>
      <c r="R239" s="33">
        <f t="shared" si="54"/>
        <v>-60</v>
      </c>
      <c r="S239" s="37">
        <f t="shared" si="40"/>
        <v>1.4471580313422192</v>
      </c>
      <c r="T239" s="37">
        <f t="shared" si="41"/>
        <v>2.4559319556497243</v>
      </c>
      <c r="U239" s="42">
        <f t="shared" si="42"/>
        <v>2.8450980400142569</v>
      </c>
      <c r="V239" s="41">
        <f t="shared" si="43"/>
        <v>1.8538719643217618</v>
      </c>
      <c r="W239" s="43">
        <f t="shared" si="44"/>
        <v>3.1760912590556813</v>
      </c>
      <c r="X239" s="43" t="e">
        <f t="shared" si="45"/>
        <v>#NUM!</v>
      </c>
    </row>
    <row r="240" spans="1:24" ht="14.25" customHeight="1">
      <c r="A240" s="49"/>
      <c r="B240" s="8">
        <v>1</v>
      </c>
      <c r="C240" s="8">
        <f t="shared" si="51"/>
        <v>0.5</v>
      </c>
      <c r="D240" s="16" t="s">
        <v>42</v>
      </c>
      <c r="E240" s="16" t="s">
        <v>43</v>
      </c>
      <c r="F240" s="17" t="s">
        <v>59</v>
      </c>
      <c r="G240" s="15" t="s">
        <v>28</v>
      </c>
      <c r="H240" s="17" t="s">
        <v>29</v>
      </c>
      <c r="I240" s="17" t="s">
        <v>36</v>
      </c>
      <c r="J240" s="8">
        <v>1</v>
      </c>
      <c r="K240" s="8">
        <v>1.18</v>
      </c>
      <c r="L240" s="8">
        <f t="shared" si="52"/>
        <v>17.999999999999993</v>
      </c>
      <c r="M240" s="9">
        <v>25</v>
      </c>
      <c r="N240" s="9">
        <v>26</v>
      </c>
      <c r="O240" s="10">
        <f t="shared" si="53"/>
        <v>4</v>
      </c>
      <c r="P240" s="11">
        <v>400</v>
      </c>
      <c r="Q240" s="11">
        <v>300</v>
      </c>
      <c r="R240" s="33">
        <f t="shared" si="54"/>
        <v>-25</v>
      </c>
      <c r="S240" s="37">
        <f t="shared" si="40"/>
        <v>1</v>
      </c>
      <c r="T240" s="37">
        <f t="shared" si="41"/>
        <v>2.255272505103306</v>
      </c>
      <c r="U240" s="42">
        <f t="shared" si="42"/>
        <v>2.3979400086720375</v>
      </c>
      <c r="V240" s="41">
        <f t="shared" si="43"/>
        <v>1.6020599913279623</v>
      </c>
      <c r="W240" s="43">
        <f t="shared" si="44"/>
        <v>3.6020599913279625</v>
      </c>
      <c r="X240" s="43" t="e">
        <f t="shared" si="45"/>
        <v>#NUM!</v>
      </c>
    </row>
    <row r="241" spans="1:24" ht="14.25" customHeight="1">
      <c r="A241" s="49"/>
      <c r="B241" s="8">
        <v>3</v>
      </c>
      <c r="C241" s="8">
        <f t="shared" si="51"/>
        <v>1.5</v>
      </c>
      <c r="D241" s="16" t="s">
        <v>42</v>
      </c>
      <c r="E241" s="16" t="s">
        <v>43</v>
      </c>
      <c r="F241" s="17" t="s">
        <v>59</v>
      </c>
      <c r="G241" s="15" t="s">
        <v>28</v>
      </c>
      <c r="H241" s="17" t="s">
        <v>29</v>
      </c>
      <c r="I241" s="17" t="s">
        <v>36</v>
      </c>
      <c r="J241" s="8">
        <v>1</v>
      </c>
      <c r="K241" s="8">
        <v>1.22</v>
      </c>
      <c r="L241" s="8">
        <f t="shared" si="52"/>
        <v>21.999999999999996</v>
      </c>
      <c r="M241" s="9">
        <v>25</v>
      </c>
      <c r="N241" s="9">
        <v>27</v>
      </c>
      <c r="O241" s="10">
        <f t="shared" si="53"/>
        <v>8</v>
      </c>
      <c r="P241" s="11">
        <v>400</v>
      </c>
      <c r="Q241" s="11">
        <v>200</v>
      </c>
      <c r="R241" s="33">
        <f t="shared" si="54"/>
        <v>-50</v>
      </c>
      <c r="S241" s="37">
        <f t="shared" si="40"/>
        <v>1</v>
      </c>
      <c r="T241" s="37">
        <f t="shared" si="41"/>
        <v>2.3424226808222062</v>
      </c>
      <c r="U241" s="42">
        <f t="shared" si="42"/>
        <v>2.3979400086720375</v>
      </c>
      <c r="V241" s="41">
        <f t="shared" si="43"/>
        <v>1.9030899869919435</v>
      </c>
      <c r="W241" s="43">
        <f t="shared" si="44"/>
        <v>3.6020599913279625</v>
      </c>
      <c r="X241" s="43" t="e">
        <f t="shared" si="45"/>
        <v>#NUM!</v>
      </c>
    </row>
    <row r="242" spans="1:24" ht="14.25" customHeight="1">
      <c r="A242" s="49"/>
      <c r="B242" s="8">
        <v>5</v>
      </c>
      <c r="C242" s="8">
        <f t="shared" si="51"/>
        <v>2.5</v>
      </c>
      <c r="D242" s="16" t="s">
        <v>25</v>
      </c>
      <c r="E242" s="16" t="s">
        <v>43</v>
      </c>
      <c r="F242" s="17" t="s">
        <v>59</v>
      </c>
      <c r="G242" s="15" t="s">
        <v>28</v>
      </c>
      <c r="H242" s="17" t="s">
        <v>29</v>
      </c>
      <c r="I242" s="17" t="s">
        <v>36</v>
      </c>
      <c r="J242" s="8">
        <v>1</v>
      </c>
      <c r="K242" s="8">
        <v>1.25</v>
      </c>
      <c r="L242" s="8">
        <f t="shared" si="52"/>
        <v>25</v>
      </c>
      <c r="M242" s="9">
        <v>25</v>
      </c>
      <c r="N242" s="9">
        <v>27.5</v>
      </c>
      <c r="O242" s="10">
        <f t="shared" si="53"/>
        <v>10</v>
      </c>
      <c r="P242" s="11">
        <v>400</v>
      </c>
      <c r="Q242" s="11">
        <v>100</v>
      </c>
      <c r="R242" s="33">
        <f t="shared" si="54"/>
        <v>-75</v>
      </c>
      <c r="S242" s="37">
        <f t="shared" si="40"/>
        <v>1</v>
      </c>
      <c r="T242" s="37">
        <f t="shared" si="41"/>
        <v>2.3979400086720375</v>
      </c>
      <c r="U242" s="42">
        <f t="shared" si="42"/>
        <v>2.3979400086720375</v>
      </c>
      <c r="V242" s="41">
        <f t="shared" si="43"/>
        <v>2</v>
      </c>
      <c r="W242" s="43">
        <f t="shared" si="44"/>
        <v>3.6020599913279625</v>
      </c>
      <c r="X242" s="43" t="e">
        <f t="shared" si="45"/>
        <v>#NUM!</v>
      </c>
    </row>
    <row r="243" spans="1:24" ht="14.25" customHeight="1">
      <c r="A243" s="49"/>
      <c r="B243" s="8">
        <v>1</v>
      </c>
      <c r="C243" s="8">
        <f t="shared" si="51"/>
        <v>0.5</v>
      </c>
      <c r="D243" s="16" t="s">
        <v>25</v>
      </c>
      <c r="E243" s="16" t="s">
        <v>98</v>
      </c>
      <c r="F243" s="17" t="s">
        <v>59</v>
      </c>
      <c r="G243" s="15" t="s">
        <v>28</v>
      </c>
      <c r="H243" s="17" t="s">
        <v>29</v>
      </c>
      <c r="I243" s="17" t="s">
        <v>36</v>
      </c>
      <c r="J243" s="8">
        <v>2.7</v>
      </c>
      <c r="K243" s="8">
        <v>2.9</v>
      </c>
      <c r="L243" s="8">
        <f t="shared" si="52"/>
        <v>7.4074074074073977</v>
      </c>
      <c r="M243" s="9">
        <v>55</v>
      </c>
      <c r="N243" s="9">
        <v>56.5</v>
      </c>
      <c r="O243" s="10">
        <f t="shared" si="53"/>
        <v>2.7272727272727271</v>
      </c>
      <c r="P243" s="11">
        <v>10</v>
      </c>
      <c r="Q243" s="11">
        <v>8</v>
      </c>
      <c r="R243" s="33">
        <f t="shared" si="54"/>
        <v>-20</v>
      </c>
      <c r="S243" s="37">
        <f t="shared" si="40"/>
        <v>1.4313637641589874</v>
      </c>
      <c r="T243" s="37">
        <f t="shared" si="41"/>
        <v>1.8696662315049932</v>
      </c>
      <c r="U243" s="42">
        <f t="shared" si="42"/>
        <v>2.7403626894942437</v>
      </c>
      <c r="V243" s="41">
        <f t="shared" si="43"/>
        <v>1.4357285695614372</v>
      </c>
      <c r="W243" s="43">
        <f t="shared" si="44"/>
        <v>2</v>
      </c>
      <c r="X243" s="43" t="e">
        <f t="shared" si="45"/>
        <v>#NUM!</v>
      </c>
    </row>
    <row r="244" spans="1:24" ht="14.25" customHeight="1">
      <c r="A244" s="49"/>
      <c r="B244" s="8">
        <v>3</v>
      </c>
      <c r="C244" s="8">
        <f t="shared" si="51"/>
        <v>1.5</v>
      </c>
      <c r="D244" s="16" t="s">
        <v>25</v>
      </c>
      <c r="E244" s="16" t="s">
        <v>98</v>
      </c>
      <c r="F244" s="17" t="s">
        <v>59</v>
      </c>
      <c r="G244" s="15" t="s">
        <v>28</v>
      </c>
      <c r="H244" s="17" t="s">
        <v>29</v>
      </c>
      <c r="I244" s="17" t="s">
        <v>36</v>
      </c>
      <c r="J244" s="8">
        <v>2.7</v>
      </c>
      <c r="K244" s="8">
        <v>3.15</v>
      </c>
      <c r="L244" s="8">
        <f t="shared" si="52"/>
        <v>16.666666666666654</v>
      </c>
      <c r="M244" s="9">
        <v>55</v>
      </c>
      <c r="N244" s="9">
        <v>57.5</v>
      </c>
      <c r="O244" s="10">
        <f t="shared" si="53"/>
        <v>4.5454545454545459</v>
      </c>
      <c r="P244" s="11">
        <v>10</v>
      </c>
      <c r="Q244" s="11">
        <v>6</v>
      </c>
      <c r="R244" s="33">
        <f t="shared" si="54"/>
        <v>-40</v>
      </c>
      <c r="S244" s="37">
        <f t="shared" si="40"/>
        <v>1.4313637641589874</v>
      </c>
      <c r="T244" s="37">
        <f t="shared" si="41"/>
        <v>2.2218487496163561</v>
      </c>
      <c r="U244" s="42">
        <f t="shared" si="42"/>
        <v>2.7403626894942437</v>
      </c>
      <c r="V244" s="41">
        <f t="shared" si="43"/>
        <v>1.6575773191777938</v>
      </c>
      <c r="W244" s="43">
        <f t="shared" si="44"/>
        <v>2</v>
      </c>
      <c r="X244" s="43" t="e">
        <f t="shared" si="45"/>
        <v>#NUM!</v>
      </c>
    </row>
    <row r="245" spans="1:24" ht="14.25" customHeight="1">
      <c r="A245" s="49"/>
      <c r="B245" s="8">
        <v>5</v>
      </c>
      <c r="C245" s="8">
        <f t="shared" si="51"/>
        <v>2.5</v>
      </c>
      <c r="D245" s="16" t="s">
        <v>25</v>
      </c>
      <c r="E245" s="16" t="s">
        <v>98</v>
      </c>
      <c r="F245" s="17" t="s">
        <v>59</v>
      </c>
      <c r="G245" s="15" t="s">
        <v>28</v>
      </c>
      <c r="H245" s="17" t="s">
        <v>29</v>
      </c>
      <c r="I245" s="17" t="s">
        <v>36</v>
      </c>
      <c r="J245" s="8">
        <v>2.7</v>
      </c>
      <c r="K245" s="8">
        <v>3.3</v>
      </c>
      <c r="L245" s="8">
        <f t="shared" si="52"/>
        <v>22.222222222222207</v>
      </c>
      <c r="M245" s="9">
        <v>55</v>
      </c>
      <c r="N245" s="9">
        <v>58</v>
      </c>
      <c r="O245" s="10">
        <f t="shared" si="53"/>
        <v>5.4545454545454541</v>
      </c>
      <c r="P245" s="11">
        <v>10</v>
      </c>
      <c r="Q245" s="11">
        <v>4</v>
      </c>
      <c r="R245" s="33">
        <f t="shared" si="54"/>
        <v>-60</v>
      </c>
      <c r="S245" s="37">
        <f t="shared" si="40"/>
        <v>1.4313637641589874</v>
      </c>
      <c r="T245" s="37">
        <f t="shared" si="41"/>
        <v>2.346787486224656</v>
      </c>
      <c r="U245" s="42">
        <f t="shared" si="42"/>
        <v>2.7403626894942437</v>
      </c>
      <c r="V245" s="41">
        <f t="shared" si="43"/>
        <v>1.7367585652254185</v>
      </c>
      <c r="W245" s="43">
        <f t="shared" si="44"/>
        <v>2</v>
      </c>
      <c r="X245" s="43" t="e">
        <f t="shared" si="45"/>
        <v>#NUM!</v>
      </c>
    </row>
    <row r="246" spans="1:24" ht="14.25" customHeight="1">
      <c r="A246" s="49"/>
      <c r="B246" s="8">
        <v>1</v>
      </c>
      <c r="C246" s="8">
        <f t="shared" si="51"/>
        <v>0.5</v>
      </c>
      <c r="D246" s="16" t="s">
        <v>25</v>
      </c>
      <c r="E246" s="16" t="s">
        <v>33</v>
      </c>
      <c r="F246" s="17" t="s">
        <v>59</v>
      </c>
      <c r="G246" s="15" t="s">
        <v>28</v>
      </c>
      <c r="H246" s="17" t="s">
        <v>29</v>
      </c>
      <c r="I246" s="17" t="s">
        <v>36</v>
      </c>
      <c r="J246" s="8">
        <v>2.41</v>
      </c>
      <c r="K246" s="8">
        <v>2.6</v>
      </c>
      <c r="L246" s="8">
        <f t="shared" si="52"/>
        <v>7.883817427385889</v>
      </c>
      <c r="M246" s="9">
        <v>32.5</v>
      </c>
      <c r="N246" s="9">
        <v>32.5</v>
      </c>
      <c r="O246" s="10">
        <f t="shared" si="53"/>
        <v>0</v>
      </c>
      <c r="P246" s="11">
        <v>30</v>
      </c>
      <c r="Q246" s="11">
        <v>28</v>
      </c>
      <c r="R246" s="33">
        <f t="shared" si="54"/>
        <v>-6.666666666666667</v>
      </c>
      <c r="S246" s="37">
        <f t="shared" si="40"/>
        <v>1.3820170425748683</v>
      </c>
      <c r="T246" s="37">
        <f t="shared" si="41"/>
        <v>1.8967365583779605</v>
      </c>
      <c r="U246" s="42">
        <f t="shared" si="42"/>
        <v>2.5118833609788744</v>
      </c>
      <c r="V246" s="41" t="e">
        <f t="shared" si="43"/>
        <v>#NUM!</v>
      </c>
      <c r="W246" s="43">
        <f t="shared" si="44"/>
        <v>2.4771212547196626</v>
      </c>
      <c r="X246" s="43" t="e">
        <f t="shared" si="45"/>
        <v>#NUM!</v>
      </c>
    </row>
    <row r="247" spans="1:24" ht="14.25" customHeight="1">
      <c r="A247" s="49"/>
      <c r="B247" s="8">
        <v>2</v>
      </c>
      <c r="C247" s="8">
        <f t="shared" si="51"/>
        <v>1</v>
      </c>
      <c r="D247" s="16" t="s">
        <v>25</v>
      </c>
      <c r="E247" s="16" t="s">
        <v>33</v>
      </c>
      <c r="F247" s="17" t="s">
        <v>59</v>
      </c>
      <c r="G247" s="15" t="s">
        <v>28</v>
      </c>
      <c r="H247" s="17" t="s">
        <v>29</v>
      </c>
      <c r="I247" s="17" t="s">
        <v>36</v>
      </c>
      <c r="J247" s="8">
        <v>2.41</v>
      </c>
      <c r="K247" s="8">
        <v>2.75</v>
      </c>
      <c r="L247" s="8">
        <f t="shared" si="52"/>
        <v>14.10788381742738</v>
      </c>
      <c r="M247" s="9">
        <v>32.5</v>
      </c>
      <c r="N247" s="9">
        <v>32.5</v>
      </c>
      <c r="O247" s="10">
        <f t="shared" si="53"/>
        <v>0</v>
      </c>
      <c r="P247" s="11">
        <v>30</v>
      </c>
      <c r="Q247" s="11">
        <v>25</v>
      </c>
      <c r="R247" s="33">
        <f t="shared" si="54"/>
        <v>-16.666666666666664</v>
      </c>
      <c r="S247" s="37">
        <f t="shared" si="40"/>
        <v>1.3820170425748683</v>
      </c>
      <c r="T247" s="37">
        <f t="shared" si="41"/>
        <v>2.1494618744673866</v>
      </c>
      <c r="U247" s="42">
        <f t="shared" si="42"/>
        <v>2.5118833609788744</v>
      </c>
      <c r="V247" s="41" t="e">
        <f t="shared" si="43"/>
        <v>#NUM!</v>
      </c>
      <c r="W247" s="43">
        <f t="shared" si="44"/>
        <v>2.4771212547196626</v>
      </c>
      <c r="X247" s="43" t="e">
        <f t="shared" si="45"/>
        <v>#NUM!</v>
      </c>
    </row>
    <row r="248" spans="1:24" ht="14.25" customHeight="1">
      <c r="A248" s="49"/>
      <c r="B248" s="8">
        <v>4</v>
      </c>
      <c r="C248" s="8">
        <f t="shared" si="51"/>
        <v>2</v>
      </c>
      <c r="D248" s="16" t="s">
        <v>25</v>
      </c>
      <c r="E248" s="16" t="s">
        <v>33</v>
      </c>
      <c r="F248" s="17" t="s">
        <v>59</v>
      </c>
      <c r="G248" s="15" t="s">
        <v>28</v>
      </c>
      <c r="H248" s="17" t="s">
        <v>29</v>
      </c>
      <c r="I248" s="17" t="s">
        <v>36</v>
      </c>
      <c r="J248" s="8">
        <v>2.41</v>
      </c>
      <c r="K248" s="8">
        <v>2.9</v>
      </c>
      <c r="L248" s="8">
        <f t="shared" si="52"/>
        <v>20.331950207468868</v>
      </c>
      <c r="M248" s="9">
        <v>32.5</v>
      </c>
      <c r="N248" s="9">
        <v>33.5</v>
      </c>
      <c r="O248" s="10">
        <f t="shared" si="53"/>
        <v>3.0769230769230771</v>
      </c>
      <c r="P248" s="11">
        <v>30</v>
      </c>
      <c r="Q248" s="11">
        <v>20</v>
      </c>
      <c r="R248" s="33">
        <f t="shared" si="54"/>
        <v>-33.333333333333329</v>
      </c>
      <c r="S248" s="37">
        <f t="shared" si="40"/>
        <v>1.3820170425748683</v>
      </c>
      <c r="T248" s="37">
        <f t="shared" si="41"/>
        <v>2.3081790374536451</v>
      </c>
      <c r="U248" s="42">
        <f t="shared" si="42"/>
        <v>2.5118833609788744</v>
      </c>
      <c r="V248" s="41">
        <f t="shared" si="43"/>
        <v>1.4881166390211256</v>
      </c>
      <c r="W248" s="43">
        <f t="shared" si="44"/>
        <v>2.4771212547196626</v>
      </c>
      <c r="X248" s="43" t="e">
        <f t="shared" si="45"/>
        <v>#NUM!</v>
      </c>
    </row>
    <row r="249" spans="1:24" ht="14.25" customHeight="1">
      <c r="A249" s="49"/>
      <c r="B249" s="8">
        <v>6</v>
      </c>
      <c r="C249" s="8">
        <f t="shared" si="51"/>
        <v>3</v>
      </c>
      <c r="D249" s="16" t="s">
        <v>25</v>
      </c>
      <c r="E249" s="16" t="s">
        <v>33</v>
      </c>
      <c r="F249" s="17" t="s">
        <v>59</v>
      </c>
      <c r="G249" s="15" t="s">
        <v>28</v>
      </c>
      <c r="H249" s="17" t="s">
        <v>29</v>
      </c>
      <c r="I249" s="17" t="s">
        <v>36</v>
      </c>
      <c r="J249" s="8">
        <v>2.41</v>
      </c>
      <c r="K249" s="8">
        <v>3.05</v>
      </c>
      <c r="L249" s="8">
        <f t="shared" si="52"/>
        <v>26.556016597510357</v>
      </c>
      <c r="M249" s="9">
        <v>32.5</v>
      </c>
      <c r="N249" s="9">
        <v>36</v>
      </c>
      <c r="O249" s="10">
        <f t="shared" si="53"/>
        <v>10.76923076923077</v>
      </c>
      <c r="P249" s="11">
        <v>30</v>
      </c>
      <c r="Q249" s="11">
        <v>15</v>
      </c>
      <c r="R249" s="33">
        <f t="shared" si="54"/>
        <v>-50</v>
      </c>
      <c r="S249" s="37">
        <f t="shared" si="40"/>
        <v>1.3820170425748683</v>
      </c>
      <c r="T249" s="37">
        <f t="shared" si="41"/>
        <v>2.4241629314090187</v>
      </c>
      <c r="U249" s="42">
        <f t="shared" si="42"/>
        <v>2.5118833609788744</v>
      </c>
      <c r="V249" s="41">
        <f t="shared" si="43"/>
        <v>2.0321846833714012</v>
      </c>
      <c r="W249" s="43">
        <f t="shared" si="44"/>
        <v>2.4771212547196626</v>
      </c>
      <c r="X249" s="43" t="e">
        <f t="shared" si="45"/>
        <v>#NUM!</v>
      </c>
    </row>
    <row r="250" spans="1:24" ht="14.25" customHeight="1">
      <c r="A250" s="49"/>
      <c r="B250" s="8">
        <v>8</v>
      </c>
      <c r="C250" s="8">
        <f t="shared" si="51"/>
        <v>4</v>
      </c>
      <c r="D250" s="16" t="s">
        <v>25</v>
      </c>
      <c r="E250" s="16" t="s">
        <v>33</v>
      </c>
      <c r="F250" s="17" t="s">
        <v>59</v>
      </c>
      <c r="G250" s="15" t="s">
        <v>28</v>
      </c>
      <c r="H250" s="17" t="s">
        <v>29</v>
      </c>
      <c r="I250" s="17" t="s">
        <v>36</v>
      </c>
      <c r="J250" s="8">
        <v>2.41</v>
      </c>
      <c r="K250" s="8">
        <v>3.1</v>
      </c>
      <c r="L250" s="8">
        <f t="shared" si="52"/>
        <v>28.630705394190869</v>
      </c>
      <c r="M250" s="9">
        <v>32.5</v>
      </c>
      <c r="N250" s="9">
        <v>35</v>
      </c>
      <c r="O250" s="10">
        <f t="shared" si="53"/>
        <v>7.6923076923076925</v>
      </c>
      <c r="P250" s="11">
        <v>30</v>
      </c>
      <c r="Q250" s="11">
        <v>12</v>
      </c>
      <c r="R250" s="33">
        <f t="shared" si="54"/>
        <v>-60</v>
      </c>
      <c r="S250" s="37">
        <f t="shared" si="40"/>
        <v>1.3820170425748683</v>
      </c>
      <c r="T250" s="37">
        <f t="shared" si="41"/>
        <v>2.4568320481623869</v>
      </c>
      <c r="U250" s="42">
        <f t="shared" si="42"/>
        <v>2.5118833609788744</v>
      </c>
      <c r="V250" s="41">
        <f t="shared" si="43"/>
        <v>1.8860566476931633</v>
      </c>
      <c r="W250" s="43">
        <f t="shared" si="44"/>
        <v>2.4771212547196626</v>
      </c>
      <c r="X250" s="43" t="e">
        <f t="shared" si="45"/>
        <v>#NUM!</v>
      </c>
    </row>
    <row r="251" spans="1:24" ht="14.25" customHeight="1">
      <c r="A251" s="50"/>
      <c r="B251" s="8">
        <v>10</v>
      </c>
      <c r="C251" s="8">
        <f t="shared" si="51"/>
        <v>5</v>
      </c>
      <c r="D251" s="16" t="s">
        <v>25</v>
      </c>
      <c r="E251" s="16" t="s">
        <v>33</v>
      </c>
      <c r="F251" s="17" t="s">
        <v>59</v>
      </c>
      <c r="G251" s="15" t="s">
        <v>28</v>
      </c>
      <c r="H251" s="17" t="s">
        <v>29</v>
      </c>
      <c r="I251" s="17" t="s">
        <v>36</v>
      </c>
      <c r="J251" s="8">
        <v>2.41</v>
      </c>
      <c r="K251" s="8">
        <v>3.12</v>
      </c>
      <c r="L251" s="8">
        <f t="shared" si="52"/>
        <v>29.460580912863065</v>
      </c>
      <c r="M251" s="9">
        <v>32.5</v>
      </c>
      <c r="N251" s="9">
        <v>34</v>
      </c>
      <c r="O251" s="10">
        <f t="shared" si="53"/>
        <v>4.6153846153846159</v>
      </c>
      <c r="P251" s="11">
        <v>30</v>
      </c>
      <c r="Q251" s="11">
        <v>10</v>
      </c>
      <c r="R251" s="33">
        <f t="shared" si="54"/>
        <v>-66.666666666666657</v>
      </c>
      <c r="S251" s="37">
        <f t="shared" si="40"/>
        <v>1.3820170425748683</v>
      </c>
      <c r="T251" s="37">
        <f t="shared" si="41"/>
        <v>2.4692413061442067</v>
      </c>
      <c r="U251" s="42">
        <f t="shared" si="42"/>
        <v>2.5118833609788744</v>
      </c>
      <c r="V251" s="41">
        <f t="shared" si="43"/>
        <v>1.6642078980768069</v>
      </c>
      <c r="W251" s="43">
        <f t="shared" si="44"/>
        <v>2.4771212547196626</v>
      </c>
      <c r="X251" s="43" t="e">
        <f t="shared" si="45"/>
        <v>#NUM!</v>
      </c>
    </row>
    <row r="252" spans="1:24" ht="14.25" customHeight="1">
      <c r="A252" s="48" t="s">
        <v>126</v>
      </c>
      <c r="B252" s="8">
        <v>1</v>
      </c>
      <c r="C252" s="8">
        <f t="shared" si="51"/>
        <v>0.5</v>
      </c>
      <c r="D252" s="16" t="s">
        <v>25</v>
      </c>
      <c r="E252" s="16" t="s">
        <v>57</v>
      </c>
      <c r="F252" s="17" t="s">
        <v>59</v>
      </c>
      <c r="G252" s="17" t="s">
        <v>28</v>
      </c>
      <c r="H252" s="17" t="s">
        <v>29</v>
      </c>
      <c r="I252" s="17" t="s">
        <v>36</v>
      </c>
      <c r="J252" s="8">
        <v>1.2</v>
      </c>
      <c r="K252" s="8">
        <v>2.2999999999999998</v>
      </c>
      <c r="L252" s="8">
        <f t="shared" si="52"/>
        <v>91.666666666666657</v>
      </c>
      <c r="M252" s="9">
        <v>65</v>
      </c>
      <c r="N252" s="9">
        <v>115</v>
      </c>
      <c r="O252" s="10">
        <f t="shared" si="53"/>
        <v>76.923076923076934</v>
      </c>
      <c r="P252" s="11">
        <v>3</v>
      </c>
      <c r="Q252" s="11">
        <v>5.5</v>
      </c>
      <c r="R252" s="33">
        <f t="shared" si="54"/>
        <v>83.333333333333343</v>
      </c>
      <c r="S252" s="37">
        <f t="shared" si="40"/>
        <v>1.0791812460476249</v>
      </c>
      <c r="T252" s="37">
        <f t="shared" si="41"/>
        <v>2.9622114391106003</v>
      </c>
      <c r="U252" s="42">
        <f t="shared" si="42"/>
        <v>2.8129133566428557</v>
      </c>
      <c r="V252" s="41">
        <f t="shared" si="43"/>
        <v>2.8860566476931631</v>
      </c>
      <c r="W252" s="43">
        <f t="shared" si="44"/>
        <v>1.4771212547196624</v>
      </c>
      <c r="X252" s="43">
        <f t="shared" si="45"/>
        <v>2.9208187539523753</v>
      </c>
    </row>
    <row r="253" spans="1:24" ht="14.25" customHeight="1">
      <c r="A253" s="49"/>
      <c r="B253" s="8">
        <v>2</v>
      </c>
      <c r="C253" s="8">
        <f t="shared" si="51"/>
        <v>1</v>
      </c>
      <c r="D253" s="16" t="s">
        <v>25</v>
      </c>
      <c r="E253" s="16" t="s">
        <v>57</v>
      </c>
      <c r="F253" s="17" t="s">
        <v>59</v>
      </c>
      <c r="G253" s="17" t="s">
        <v>28</v>
      </c>
      <c r="H253" s="17" t="s">
        <v>29</v>
      </c>
      <c r="I253" s="17" t="s">
        <v>36</v>
      </c>
      <c r="J253" s="8">
        <v>1.2</v>
      </c>
      <c r="K253" s="8">
        <v>4.5999999999999996</v>
      </c>
      <c r="L253" s="8">
        <f t="shared" si="52"/>
        <v>283.33333333333331</v>
      </c>
      <c r="M253" s="9">
        <v>65</v>
      </c>
      <c r="N253" s="9">
        <v>125</v>
      </c>
      <c r="O253" s="10">
        <f t="shared" si="53"/>
        <v>92.307692307692307</v>
      </c>
      <c r="P253" s="11">
        <v>3</v>
      </c>
      <c r="Q253" s="11">
        <v>9</v>
      </c>
      <c r="R253" s="33">
        <f t="shared" si="54"/>
        <v>200</v>
      </c>
      <c r="S253" s="37">
        <f t="shared" si="40"/>
        <v>1.0791812460476249</v>
      </c>
      <c r="T253" s="37">
        <f t="shared" si="41"/>
        <v>3.4522976709946303</v>
      </c>
      <c r="U253" s="42">
        <f t="shared" si="42"/>
        <v>2.8129133566428557</v>
      </c>
      <c r="V253" s="41">
        <f t="shared" si="43"/>
        <v>2.9652378937407882</v>
      </c>
      <c r="W253" s="43">
        <f t="shared" si="44"/>
        <v>1.4771212547196624</v>
      </c>
      <c r="X253" s="43">
        <f t="shared" si="45"/>
        <v>3.3010299956639813</v>
      </c>
    </row>
    <row r="254" spans="1:24" ht="14.25" customHeight="1">
      <c r="A254" s="49"/>
      <c r="B254" s="8">
        <v>3</v>
      </c>
      <c r="C254" s="8">
        <f t="shared" si="51"/>
        <v>1.5</v>
      </c>
      <c r="D254" s="16" t="s">
        <v>25</v>
      </c>
      <c r="E254" s="16" t="s">
        <v>57</v>
      </c>
      <c r="F254" s="17" t="s">
        <v>59</v>
      </c>
      <c r="G254" s="17" t="s">
        <v>28</v>
      </c>
      <c r="H254" s="17" t="s">
        <v>29</v>
      </c>
      <c r="I254" s="17" t="s">
        <v>36</v>
      </c>
      <c r="J254" s="8">
        <v>1.2</v>
      </c>
      <c r="K254" s="8">
        <v>2.8</v>
      </c>
      <c r="L254" s="8">
        <f t="shared" si="52"/>
        <v>133.33333333333331</v>
      </c>
      <c r="M254" s="9">
        <v>65</v>
      </c>
      <c r="N254" s="9">
        <v>105</v>
      </c>
      <c r="O254" s="10">
        <f t="shared" si="53"/>
        <v>61.53846153846154</v>
      </c>
      <c r="P254" s="11">
        <v>3</v>
      </c>
      <c r="Q254" s="11">
        <v>7.5</v>
      </c>
      <c r="R254" s="33">
        <f t="shared" si="54"/>
        <v>150</v>
      </c>
      <c r="S254" s="37">
        <f t="shared" si="40"/>
        <v>1.0791812460476249</v>
      </c>
      <c r="T254" s="37">
        <f t="shared" si="41"/>
        <v>3.1249387366082999</v>
      </c>
      <c r="U254" s="42">
        <f t="shared" si="42"/>
        <v>2.8129133566428557</v>
      </c>
      <c r="V254" s="41">
        <f t="shared" si="43"/>
        <v>2.7891466346851068</v>
      </c>
      <c r="W254" s="43">
        <f t="shared" si="44"/>
        <v>1.4771212547196624</v>
      </c>
      <c r="X254" s="43">
        <f t="shared" si="45"/>
        <v>3.1760912590556813</v>
      </c>
    </row>
    <row r="255" spans="1:24" ht="14.25" customHeight="1">
      <c r="A255" s="49"/>
      <c r="B255" s="8">
        <v>4</v>
      </c>
      <c r="C255" s="8">
        <f t="shared" si="51"/>
        <v>2</v>
      </c>
      <c r="D255" s="16" t="s">
        <v>25</v>
      </c>
      <c r="E255" s="16" t="s">
        <v>57</v>
      </c>
      <c r="F255" s="17" t="s">
        <v>59</v>
      </c>
      <c r="G255" s="17" t="s">
        <v>28</v>
      </c>
      <c r="H255" s="17" t="s">
        <v>29</v>
      </c>
      <c r="I255" s="17" t="s">
        <v>36</v>
      </c>
      <c r="J255" s="8">
        <v>1.2</v>
      </c>
      <c r="K255" s="8">
        <v>2.5</v>
      </c>
      <c r="L255" s="8">
        <f t="shared" si="52"/>
        <v>108.33333333333334</v>
      </c>
      <c r="M255" s="9">
        <v>65</v>
      </c>
      <c r="N255" s="9">
        <v>100</v>
      </c>
      <c r="O255" s="10">
        <f t="shared" si="53"/>
        <v>53.846153846153847</v>
      </c>
      <c r="P255" s="11">
        <v>3</v>
      </c>
      <c r="Q255" s="11">
        <v>6.5</v>
      </c>
      <c r="R255" s="33">
        <f t="shared" si="54"/>
        <v>116.66666666666667</v>
      </c>
      <c r="S255" s="37">
        <f t="shared" si="40"/>
        <v>1.0791812460476249</v>
      </c>
      <c r="T255" s="37">
        <f t="shared" si="41"/>
        <v>3.0347621062592118</v>
      </c>
      <c r="U255" s="42">
        <f t="shared" si="42"/>
        <v>2.8129133566428557</v>
      </c>
      <c r="V255" s="41">
        <f t="shared" si="43"/>
        <v>2.73115468770742</v>
      </c>
      <c r="W255" s="43">
        <f t="shared" si="44"/>
        <v>1.4771212547196624</v>
      </c>
      <c r="X255" s="43">
        <f t="shared" si="45"/>
        <v>3.0669467896306131</v>
      </c>
    </row>
    <row r="256" spans="1:24" ht="14.25" customHeight="1">
      <c r="A256" s="49"/>
      <c r="B256" s="8">
        <v>5</v>
      </c>
      <c r="C256" s="8">
        <f t="shared" si="51"/>
        <v>2.5</v>
      </c>
      <c r="D256" s="16" t="s">
        <v>25</v>
      </c>
      <c r="E256" s="16" t="s">
        <v>57</v>
      </c>
      <c r="F256" s="17" t="s">
        <v>59</v>
      </c>
      <c r="G256" s="17" t="s">
        <v>28</v>
      </c>
      <c r="H256" s="17" t="s">
        <v>29</v>
      </c>
      <c r="I256" s="17" t="s">
        <v>36</v>
      </c>
      <c r="J256" s="8">
        <v>1.2</v>
      </c>
      <c r="K256" s="8">
        <v>2</v>
      </c>
      <c r="L256" s="8">
        <f t="shared" si="52"/>
        <v>66.666666666666671</v>
      </c>
      <c r="M256" s="9">
        <v>65</v>
      </c>
      <c r="N256" s="9">
        <v>95</v>
      </c>
      <c r="O256" s="10">
        <f t="shared" si="53"/>
        <v>46.153846153846153</v>
      </c>
      <c r="P256" s="11">
        <v>3</v>
      </c>
      <c r="Q256" s="11">
        <v>6</v>
      </c>
      <c r="R256" s="33">
        <f t="shared" si="54"/>
        <v>100</v>
      </c>
      <c r="S256" s="37">
        <f t="shared" si="40"/>
        <v>1.0791812460476249</v>
      </c>
      <c r="T256" s="37">
        <f t="shared" si="41"/>
        <v>2.8239087409443187</v>
      </c>
      <c r="U256" s="42">
        <f t="shared" si="42"/>
        <v>2.8129133566428557</v>
      </c>
      <c r="V256" s="41">
        <f t="shared" si="43"/>
        <v>2.6642078980768069</v>
      </c>
      <c r="W256" s="43">
        <f t="shared" si="44"/>
        <v>1.4771212547196624</v>
      </c>
      <c r="X256" s="43">
        <f t="shared" si="45"/>
        <v>3</v>
      </c>
    </row>
    <row r="257" spans="1:24" ht="14.25" customHeight="1">
      <c r="A257" s="45" t="s">
        <v>127</v>
      </c>
      <c r="B257" s="8" t="s">
        <v>118</v>
      </c>
      <c r="C257" s="8">
        <v>0.25</v>
      </c>
      <c r="D257" s="16" t="s">
        <v>42</v>
      </c>
      <c r="E257" s="16" t="s">
        <v>43</v>
      </c>
      <c r="F257" s="17" t="s">
        <v>59</v>
      </c>
      <c r="G257" s="17" t="s">
        <v>28</v>
      </c>
      <c r="H257" s="17" t="s">
        <v>29</v>
      </c>
      <c r="I257" s="17" t="s">
        <v>36</v>
      </c>
      <c r="J257" s="8">
        <v>22.085999999999999</v>
      </c>
      <c r="K257" s="8">
        <v>23.047000000000001</v>
      </c>
      <c r="L257" s="8">
        <f t="shared" si="52"/>
        <v>4.3511726885810109</v>
      </c>
      <c r="M257" s="9">
        <v>448.38</v>
      </c>
      <c r="N257" s="9">
        <v>596.32000000000005</v>
      </c>
      <c r="O257" s="10">
        <f t="shared" si="53"/>
        <v>32.994335162139272</v>
      </c>
      <c r="P257" s="11" t="s">
        <v>31</v>
      </c>
      <c r="Q257" s="11" t="s">
        <v>31</v>
      </c>
      <c r="R257" s="33" t="s">
        <v>31</v>
      </c>
      <c r="S257" s="37">
        <f t="shared" si="40"/>
        <v>2.3441170678303105</v>
      </c>
      <c r="T257" s="37">
        <f t="shared" si="41"/>
        <v>1.6386063198382359</v>
      </c>
      <c r="U257" s="42">
        <f t="shared" si="42"/>
        <v>3.6516462326398127</v>
      </c>
      <c r="V257" s="41">
        <f t="shared" si="43"/>
        <v>2.5184393817260768</v>
      </c>
      <c r="W257" s="43" t="e">
        <f t="shared" si="44"/>
        <v>#VALUE!</v>
      </c>
      <c r="X257" s="43" t="e">
        <f t="shared" si="45"/>
        <v>#VALUE!</v>
      </c>
    </row>
    <row r="258" spans="1:24" ht="14.25" customHeight="1">
      <c r="A258" s="49"/>
      <c r="B258" s="8">
        <v>1</v>
      </c>
      <c r="C258" s="8">
        <f t="shared" si="51"/>
        <v>0.5</v>
      </c>
      <c r="D258" s="16" t="s">
        <v>42</v>
      </c>
      <c r="E258" s="16" t="s">
        <v>43</v>
      </c>
      <c r="F258" s="17" t="s">
        <v>59</v>
      </c>
      <c r="G258" s="17" t="s">
        <v>28</v>
      </c>
      <c r="H258" s="17" t="s">
        <v>29</v>
      </c>
      <c r="I258" s="17" t="s">
        <v>36</v>
      </c>
      <c r="J258" s="8">
        <v>22.085999999999999</v>
      </c>
      <c r="K258" s="8">
        <v>23.71</v>
      </c>
      <c r="L258" s="8">
        <f t="shared" si="52"/>
        <v>7.3530743457393939</v>
      </c>
      <c r="M258" s="9">
        <v>448.38</v>
      </c>
      <c r="N258" s="9">
        <v>587.64</v>
      </c>
      <c r="O258" s="10">
        <f t="shared" si="53"/>
        <v>31.058477184530975</v>
      </c>
      <c r="P258" s="11" t="s">
        <v>31</v>
      </c>
      <c r="Q258" s="11" t="s">
        <v>31</v>
      </c>
      <c r="R258" s="33" t="s">
        <v>31</v>
      </c>
      <c r="S258" s="37">
        <f t="shared" si="40"/>
        <v>2.3441170678303105</v>
      </c>
      <c r="T258" s="37">
        <f t="shared" si="41"/>
        <v>1.8664689570748469</v>
      </c>
      <c r="U258" s="42">
        <f t="shared" si="42"/>
        <v>3.6516462326398127</v>
      </c>
      <c r="V258" s="41">
        <f t="shared" si="43"/>
        <v>2.4921801581997487</v>
      </c>
      <c r="W258" s="43" t="e">
        <f t="shared" si="44"/>
        <v>#VALUE!</v>
      </c>
      <c r="X258" s="43" t="e">
        <f t="shared" si="45"/>
        <v>#VALUE!</v>
      </c>
    </row>
    <row r="259" spans="1:24" ht="14.25" customHeight="1">
      <c r="A259" s="49"/>
      <c r="B259" s="8">
        <v>1.5</v>
      </c>
      <c r="C259" s="8">
        <f t="shared" si="51"/>
        <v>0.75</v>
      </c>
      <c r="D259" s="16" t="s">
        <v>42</v>
      </c>
      <c r="E259" s="16" t="s">
        <v>43</v>
      </c>
      <c r="F259" s="17" t="s">
        <v>59</v>
      </c>
      <c r="G259" s="17" t="s">
        <v>28</v>
      </c>
      <c r="H259" s="17" t="s">
        <v>29</v>
      </c>
      <c r="I259" s="17" t="s">
        <v>36</v>
      </c>
      <c r="J259" s="8">
        <v>22.085999999999999</v>
      </c>
      <c r="K259" s="8">
        <v>23.327000000000002</v>
      </c>
      <c r="L259" s="8">
        <f t="shared" si="52"/>
        <v>5.6189441275015994</v>
      </c>
      <c r="M259" s="9">
        <v>448.38</v>
      </c>
      <c r="N259" s="9">
        <v>545.83000000000004</v>
      </c>
      <c r="O259" s="10">
        <f t="shared" si="53"/>
        <v>21.733797225567606</v>
      </c>
      <c r="P259" s="11" t="s">
        <v>31</v>
      </c>
      <c r="Q259" s="11" t="s">
        <v>31</v>
      </c>
      <c r="R259" s="33" t="s">
        <v>31</v>
      </c>
      <c r="S259" s="37">
        <f t="shared" si="40"/>
        <v>2.3441170678303105</v>
      </c>
      <c r="T259" s="37">
        <f t="shared" si="41"/>
        <v>1.7496547136684206</v>
      </c>
      <c r="U259" s="42">
        <f t="shared" si="42"/>
        <v>3.6516462326398127</v>
      </c>
      <c r="V259" s="41">
        <f t="shared" si="43"/>
        <v>2.3371356108138279</v>
      </c>
      <c r="W259" s="43" t="e">
        <f t="shared" si="44"/>
        <v>#VALUE!</v>
      </c>
      <c r="X259" s="43" t="e">
        <f t="shared" si="45"/>
        <v>#VALUE!</v>
      </c>
    </row>
    <row r="260" spans="1:24" ht="14.25" customHeight="1">
      <c r="A260" s="45" t="s">
        <v>128</v>
      </c>
      <c r="B260" s="8">
        <v>1</v>
      </c>
      <c r="C260" s="8">
        <f t="shared" si="51"/>
        <v>0.5</v>
      </c>
      <c r="D260" s="16" t="s">
        <v>42</v>
      </c>
      <c r="E260" s="16" t="s">
        <v>129</v>
      </c>
      <c r="F260" s="17" t="s">
        <v>59</v>
      </c>
      <c r="G260" s="17" t="s">
        <v>28</v>
      </c>
      <c r="H260" s="17" t="s">
        <v>29</v>
      </c>
      <c r="I260" s="17" t="s">
        <v>36</v>
      </c>
      <c r="J260" s="8">
        <v>1.1000000000000001</v>
      </c>
      <c r="K260" s="8">
        <v>1</v>
      </c>
      <c r="L260" s="8">
        <f t="shared" si="52"/>
        <v>-9.0909090909090988</v>
      </c>
      <c r="M260" s="9">
        <v>30</v>
      </c>
      <c r="N260" s="9">
        <v>33</v>
      </c>
      <c r="O260" s="10">
        <f t="shared" si="53"/>
        <v>10</v>
      </c>
      <c r="P260" s="11">
        <v>3</v>
      </c>
      <c r="Q260" s="11">
        <v>3.5</v>
      </c>
      <c r="R260" s="33">
        <f t="shared" si="54"/>
        <v>16.666666666666664</v>
      </c>
      <c r="S260" s="37">
        <f t="shared" ref="S260:S323" si="55">LOG10(J260*10)</f>
        <v>1.0413926851582251</v>
      </c>
      <c r="T260" s="37" t="e">
        <f t="shared" ref="T260:T323" si="56">LOG10(L260*10)</f>
        <v>#NUM!</v>
      </c>
      <c r="U260" s="42">
        <f t="shared" ref="U260:U323" si="57">LOG10(M260*10)</f>
        <v>2.4771212547196626</v>
      </c>
      <c r="V260" s="41">
        <f t="shared" ref="V260:V323" si="58">LOG10(O260*10)</f>
        <v>2</v>
      </c>
      <c r="W260" s="43">
        <f t="shared" ref="W260:W323" si="59">LOG10(P260*10)</f>
        <v>1.4771212547196624</v>
      </c>
      <c r="X260" s="43">
        <f t="shared" ref="X260:X323" si="60">LOG10(R260*10)</f>
        <v>2.2218487496163561</v>
      </c>
    </row>
    <row r="261" spans="1:24" ht="14.25" customHeight="1">
      <c r="A261" s="49"/>
      <c r="B261" s="8">
        <v>2</v>
      </c>
      <c r="C261" s="8">
        <f t="shared" si="51"/>
        <v>1</v>
      </c>
      <c r="D261" s="16" t="s">
        <v>42</v>
      </c>
      <c r="E261" s="16" t="s">
        <v>129</v>
      </c>
      <c r="F261" s="17" t="s">
        <v>59</v>
      </c>
      <c r="G261" s="17" t="s">
        <v>28</v>
      </c>
      <c r="H261" s="17" t="s">
        <v>29</v>
      </c>
      <c r="I261" s="17" t="s">
        <v>36</v>
      </c>
      <c r="J261" s="8">
        <v>1.1000000000000001</v>
      </c>
      <c r="K261" s="8">
        <v>1.35</v>
      </c>
      <c r="L261" s="8">
        <f t="shared" si="52"/>
        <v>22.727272727272727</v>
      </c>
      <c r="M261" s="9">
        <v>30</v>
      </c>
      <c r="N261" s="9">
        <v>45</v>
      </c>
      <c r="O261" s="10">
        <f t="shared" si="53"/>
        <v>50</v>
      </c>
      <c r="P261" s="11">
        <v>3</v>
      </c>
      <c r="Q261" s="11">
        <v>4.2</v>
      </c>
      <c r="R261" s="33">
        <f t="shared" si="54"/>
        <v>40.000000000000007</v>
      </c>
      <c r="S261" s="37">
        <f t="shared" si="55"/>
        <v>1.0413926851582251</v>
      </c>
      <c r="T261" s="37">
        <f t="shared" si="56"/>
        <v>2.3565473235138126</v>
      </c>
      <c r="U261" s="42">
        <f t="shared" si="57"/>
        <v>2.4771212547196626</v>
      </c>
      <c r="V261" s="41">
        <f t="shared" si="58"/>
        <v>2.6989700043360187</v>
      </c>
      <c r="W261" s="43">
        <f t="shared" si="59"/>
        <v>1.4771212547196624</v>
      </c>
      <c r="X261" s="43">
        <f t="shared" si="60"/>
        <v>2.6020599913279625</v>
      </c>
    </row>
    <row r="262" spans="1:24" ht="14.25" customHeight="1">
      <c r="A262" s="49"/>
      <c r="B262" s="8">
        <v>3</v>
      </c>
      <c r="C262" s="8">
        <f t="shared" si="51"/>
        <v>1.5</v>
      </c>
      <c r="D262" s="16" t="s">
        <v>42</v>
      </c>
      <c r="E262" s="16" t="s">
        <v>129</v>
      </c>
      <c r="F262" s="17" t="s">
        <v>59</v>
      </c>
      <c r="G262" s="17" t="s">
        <v>28</v>
      </c>
      <c r="H262" s="17" t="s">
        <v>29</v>
      </c>
      <c r="I262" s="17" t="s">
        <v>36</v>
      </c>
      <c r="J262" s="8">
        <v>1.1000000000000001</v>
      </c>
      <c r="K262" s="8">
        <v>1.37</v>
      </c>
      <c r="L262" s="8">
        <f t="shared" si="52"/>
        <v>24.545454545454547</v>
      </c>
      <c r="M262" s="9">
        <v>30</v>
      </c>
      <c r="N262" s="9">
        <v>52.6</v>
      </c>
      <c r="O262" s="10">
        <f t="shared" si="53"/>
        <v>75.333333333333343</v>
      </c>
      <c r="P262" s="11">
        <v>3</v>
      </c>
      <c r="Q262" s="11">
        <v>5</v>
      </c>
      <c r="R262" s="33">
        <f t="shared" si="54"/>
        <v>66.666666666666657</v>
      </c>
      <c r="S262" s="37">
        <f t="shared" si="55"/>
        <v>1.0413926851582251</v>
      </c>
      <c r="T262" s="37">
        <f t="shared" si="56"/>
        <v>2.3899710790007624</v>
      </c>
      <c r="U262" s="42">
        <f t="shared" si="57"/>
        <v>2.4771212547196626</v>
      </c>
      <c r="V262" s="41">
        <f t="shared" si="58"/>
        <v>2.8769871844277386</v>
      </c>
      <c r="W262" s="43">
        <f t="shared" si="59"/>
        <v>1.4771212547196624</v>
      </c>
      <c r="X262" s="43">
        <f t="shared" si="60"/>
        <v>2.8239087409443187</v>
      </c>
    </row>
    <row r="263" spans="1:24" ht="14.25" customHeight="1">
      <c r="A263" s="50"/>
      <c r="B263" s="8">
        <v>4</v>
      </c>
      <c r="C263" s="8">
        <f t="shared" si="51"/>
        <v>2</v>
      </c>
      <c r="D263" s="16" t="s">
        <v>42</v>
      </c>
      <c r="E263" s="16" t="s">
        <v>129</v>
      </c>
      <c r="F263" s="17" t="s">
        <v>59</v>
      </c>
      <c r="G263" s="17" t="s">
        <v>28</v>
      </c>
      <c r="H263" s="17" t="s">
        <v>29</v>
      </c>
      <c r="I263" s="17" t="s">
        <v>36</v>
      </c>
      <c r="J263" s="8">
        <v>1.1000000000000001</v>
      </c>
      <c r="K263" s="8">
        <v>1.2</v>
      </c>
      <c r="L263" s="8">
        <f t="shared" si="52"/>
        <v>9.0909090909090793</v>
      </c>
      <c r="M263" s="9">
        <v>30</v>
      </c>
      <c r="N263" s="9">
        <v>37</v>
      </c>
      <c r="O263" s="10">
        <f t="shared" si="53"/>
        <v>23.333333333333332</v>
      </c>
      <c r="P263" s="11">
        <v>3</v>
      </c>
      <c r="Q263" s="11">
        <v>3.6</v>
      </c>
      <c r="R263" s="33">
        <f t="shared" si="54"/>
        <v>20.000000000000004</v>
      </c>
      <c r="S263" s="37">
        <f t="shared" si="55"/>
        <v>1.0413926851582251</v>
      </c>
      <c r="T263" s="37">
        <f t="shared" si="56"/>
        <v>1.9586073148417744</v>
      </c>
      <c r="U263" s="42">
        <f t="shared" si="57"/>
        <v>2.4771212547196626</v>
      </c>
      <c r="V263" s="41">
        <f t="shared" si="58"/>
        <v>2.3679767852945943</v>
      </c>
      <c r="W263" s="43">
        <f t="shared" si="59"/>
        <v>1.4771212547196624</v>
      </c>
      <c r="X263" s="43">
        <f t="shared" si="60"/>
        <v>2.3010299956639813</v>
      </c>
    </row>
    <row r="264" spans="1:24" ht="14.25" customHeight="1">
      <c r="A264" s="45" t="s">
        <v>130</v>
      </c>
      <c r="B264" s="8">
        <v>5</v>
      </c>
      <c r="C264" s="8">
        <f t="shared" si="51"/>
        <v>2.5</v>
      </c>
      <c r="D264" s="16" t="s">
        <v>25</v>
      </c>
      <c r="E264" s="16" t="s">
        <v>107</v>
      </c>
      <c r="F264" s="17" t="s">
        <v>59</v>
      </c>
      <c r="G264" s="17" t="s">
        <v>131</v>
      </c>
      <c r="H264" s="17" t="s">
        <v>29</v>
      </c>
      <c r="I264" s="17" t="s">
        <v>132</v>
      </c>
      <c r="J264" s="8">
        <v>3.5</v>
      </c>
      <c r="K264" s="8">
        <v>4.2</v>
      </c>
      <c r="L264" s="8">
        <f t="shared" si="52"/>
        <v>20.000000000000004</v>
      </c>
      <c r="M264" s="9" t="s">
        <v>31</v>
      </c>
      <c r="N264" s="9" t="s">
        <v>31</v>
      </c>
      <c r="O264" s="9" t="s">
        <v>31</v>
      </c>
      <c r="P264" s="11" t="s">
        <v>31</v>
      </c>
      <c r="Q264" s="11" t="s">
        <v>31</v>
      </c>
      <c r="R264" s="33" t="s">
        <v>31</v>
      </c>
      <c r="S264" s="37">
        <f t="shared" si="55"/>
        <v>1.5440680443502757</v>
      </c>
      <c r="T264" s="37">
        <f t="shared" si="56"/>
        <v>2.3010299956639813</v>
      </c>
      <c r="U264" s="42" t="e">
        <f t="shared" si="57"/>
        <v>#VALUE!</v>
      </c>
      <c r="V264" s="41" t="e">
        <f t="shared" si="58"/>
        <v>#VALUE!</v>
      </c>
      <c r="W264" s="43" t="e">
        <f t="shared" si="59"/>
        <v>#VALUE!</v>
      </c>
      <c r="X264" s="43" t="e">
        <f t="shared" si="60"/>
        <v>#VALUE!</v>
      </c>
    </row>
    <row r="265" spans="1:24" ht="14.25" customHeight="1">
      <c r="A265" s="49"/>
      <c r="B265" s="8">
        <v>5</v>
      </c>
      <c r="C265" s="8">
        <f t="shared" si="51"/>
        <v>2.5</v>
      </c>
      <c r="D265" s="16" t="s">
        <v>25</v>
      </c>
      <c r="E265" s="16" t="s">
        <v>133</v>
      </c>
      <c r="F265" s="17" t="s">
        <v>59</v>
      </c>
      <c r="G265" s="17" t="s">
        <v>131</v>
      </c>
      <c r="H265" s="17" t="s">
        <v>29</v>
      </c>
      <c r="I265" s="17" t="s">
        <v>132</v>
      </c>
      <c r="J265" s="8">
        <v>3.5</v>
      </c>
      <c r="K265" s="8">
        <v>4.1500000000000004</v>
      </c>
      <c r="L265" s="8">
        <f t="shared" si="52"/>
        <v>18.57142857142858</v>
      </c>
      <c r="M265" s="9" t="s">
        <v>31</v>
      </c>
      <c r="N265" s="9" t="s">
        <v>31</v>
      </c>
      <c r="O265" s="9" t="s">
        <v>31</v>
      </c>
      <c r="P265" s="11" t="s">
        <v>31</v>
      </c>
      <c r="Q265" s="11" t="s">
        <v>31</v>
      </c>
      <c r="R265" s="33" t="s">
        <v>31</v>
      </c>
      <c r="S265" s="37">
        <f t="shared" si="55"/>
        <v>1.5440680443502757</v>
      </c>
      <c r="T265" s="37">
        <f t="shared" si="56"/>
        <v>2.26884531229258</v>
      </c>
      <c r="U265" s="42" t="e">
        <f t="shared" si="57"/>
        <v>#VALUE!</v>
      </c>
      <c r="V265" s="41" t="e">
        <f t="shared" si="58"/>
        <v>#VALUE!</v>
      </c>
      <c r="W265" s="43" t="e">
        <f t="shared" si="59"/>
        <v>#VALUE!</v>
      </c>
      <c r="X265" s="43" t="e">
        <f t="shared" si="60"/>
        <v>#VALUE!</v>
      </c>
    </row>
    <row r="266" spans="1:24" ht="14.25" customHeight="1">
      <c r="A266" s="49"/>
      <c r="B266" s="8">
        <v>5</v>
      </c>
      <c r="C266" s="8">
        <f t="shared" si="51"/>
        <v>2.5</v>
      </c>
      <c r="D266" s="16" t="s">
        <v>25</v>
      </c>
      <c r="E266" s="16" t="s">
        <v>134</v>
      </c>
      <c r="F266" s="17" t="s">
        <v>112</v>
      </c>
      <c r="G266" s="17" t="s">
        <v>131</v>
      </c>
      <c r="H266" s="17" t="s">
        <v>29</v>
      </c>
      <c r="I266" s="17" t="s">
        <v>132</v>
      </c>
      <c r="J266" s="8">
        <v>3.5</v>
      </c>
      <c r="K266" s="8">
        <v>3.9</v>
      </c>
      <c r="L266" s="8">
        <f t="shared" si="52"/>
        <v>11.428571428571425</v>
      </c>
      <c r="M266" s="9" t="s">
        <v>31</v>
      </c>
      <c r="N266" s="9" t="s">
        <v>31</v>
      </c>
      <c r="O266" s="9" t="s">
        <v>31</v>
      </c>
      <c r="P266" s="11" t="s">
        <v>31</v>
      </c>
      <c r="Q266" s="11" t="s">
        <v>31</v>
      </c>
      <c r="R266" s="33" t="s">
        <v>31</v>
      </c>
      <c r="S266" s="37">
        <f t="shared" si="55"/>
        <v>1.5440680443502757</v>
      </c>
      <c r="T266" s="37">
        <f t="shared" si="56"/>
        <v>2.0579919469776868</v>
      </c>
      <c r="U266" s="42" t="e">
        <f t="shared" si="57"/>
        <v>#VALUE!</v>
      </c>
      <c r="V266" s="41" t="e">
        <f t="shared" si="58"/>
        <v>#VALUE!</v>
      </c>
      <c r="W266" s="43" t="e">
        <f t="shared" si="59"/>
        <v>#VALUE!</v>
      </c>
      <c r="X266" s="43" t="e">
        <f t="shared" si="60"/>
        <v>#VALUE!</v>
      </c>
    </row>
    <row r="267" spans="1:24" ht="14.25" customHeight="1">
      <c r="A267" s="45" t="s">
        <v>135</v>
      </c>
      <c r="B267" s="8">
        <v>1</v>
      </c>
      <c r="C267" s="8">
        <f t="shared" si="51"/>
        <v>0.5</v>
      </c>
      <c r="D267" s="16" t="s">
        <v>42</v>
      </c>
      <c r="E267" s="16" t="s">
        <v>43</v>
      </c>
      <c r="F267" s="17" t="s">
        <v>59</v>
      </c>
      <c r="G267" s="17" t="s">
        <v>37</v>
      </c>
      <c r="H267" s="17" t="s">
        <v>29</v>
      </c>
      <c r="I267" s="17" t="s">
        <v>136</v>
      </c>
      <c r="J267" s="8">
        <v>55.9</v>
      </c>
      <c r="K267" s="8">
        <v>58.28</v>
      </c>
      <c r="L267" s="8">
        <f t="shared" si="52"/>
        <v>4.2576028622540303</v>
      </c>
      <c r="M267" s="9" t="s">
        <v>31</v>
      </c>
      <c r="N267" s="9" t="s">
        <v>31</v>
      </c>
      <c r="O267" s="9" t="s">
        <v>31</v>
      </c>
      <c r="P267" s="11" t="s">
        <v>31</v>
      </c>
      <c r="Q267" s="11" t="s">
        <v>31</v>
      </c>
      <c r="R267" s="33" t="s">
        <v>31</v>
      </c>
      <c r="S267" s="37">
        <f t="shared" si="55"/>
        <v>2.7474118078864231</v>
      </c>
      <c r="T267" s="37">
        <f t="shared" si="56"/>
        <v>1.6291651491700891</v>
      </c>
      <c r="U267" s="42" t="e">
        <f t="shared" si="57"/>
        <v>#VALUE!</v>
      </c>
      <c r="V267" s="41" t="e">
        <f t="shared" si="58"/>
        <v>#VALUE!</v>
      </c>
      <c r="W267" s="43" t="e">
        <f t="shared" si="59"/>
        <v>#VALUE!</v>
      </c>
      <c r="X267" s="43" t="e">
        <f t="shared" si="60"/>
        <v>#VALUE!</v>
      </c>
    </row>
    <row r="268" spans="1:24" ht="14.25" customHeight="1">
      <c r="A268" s="49"/>
      <c r="B268" s="8">
        <v>2</v>
      </c>
      <c r="C268" s="8">
        <f t="shared" si="51"/>
        <v>1</v>
      </c>
      <c r="D268" s="16" t="s">
        <v>42</v>
      </c>
      <c r="E268" s="16" t="s">
        <v>43</v>
      </c>
      <c r="F268" s="17" t="s">
        <v>59</v>
      </c>
      <c r="G268" s="17" t="s">
        <v>37</v>
      </c>
      <c r="H268" s="17" t="s">
        <v>29</v>
      </c>
      <c r="I268" s="17" t="s">
        <v>136</v>
      </c>
      <c r="J268" s="8">
        <v>55.9</v>
      </c>
      <c r="K268" s="8">
        <v>63.5</v>
      </c>
      <c r="L268" s="8">
        <f t="shared" si="52"/>
        <v>13.595706618962437</v>
      </c>
      <c r="M268" s="9" t="s">
        <v>31</v>
      </c>
      <c r="N268" s="9" t="s">
        <v>31</v>
      </c>
      <c r="O268" s="9" t="s">
        <v>31</v>
      </c>
      <c r="P268" s="11" t="s">
        <v>31</v>
      </c>
      <c r="Q268" s="11" t="s">
        <v>31</v>
      </c>
      <c r="R268" s="33" t="s">
        <v>31</v>
      </c>
      <c r="S268" s="37">
        <f t="shared" si="55"/>
        <v>2.7474118078864231</v>
      </c>
      <c r="T268" s="37">
        <f t="shared" si="56"/>
        <v>2.1334017843943682</v>
      </c>
      <c r="U268" s="42" t="e">
        <f t="shared" si="57"/>
        <v>#VALUE!</v>
      </c>
      <c r="V268" s="41" t="e">
        <f t="shared" si="58"/>
        <v>#VALUE!</v>
      </c>
      <c r="W268" s="43" t="e">
        <f t="shared" si="59"/>
        <v>#VALUE!</v>
      </c>
      <c r="X268" s="43" t="e">
        <f t="shared" si="60"/>
        <v>#VALUE!</v>
      </c>
    </row>
    <row r="269" spans="1:24" ht="14.25" customHeight="1">
      <c r="A269" s="49"/>
      <c r="B269" s="8">
        <v>3</v>
      </c>
      <c r="C269" s="8">
        <f t="shared" si="51"/>
        <v>1.5</v>
      </c>
      <c r="D269" s="16" t="s">
        <v>42</v>
      </c>
      <c r="E269" s="16" t="s">
        <v>43</v>
      </c>
      <c r="F269" s="17" t="s">
        <v>59</v>
      </c>
      <c r="G269" s="17" t="s">
        <v>37</v>
      </c>
      <c r="H269" s="17" t="s">
        <v>29</v>
      </c>
      <c r="I269" s="17" t="s">
        <v>136</v>
      </c>
      <c r="J269" s="8">
        <v>55.9</v>
      </c>
      <c r="K269" s="8">
        <v>59.6</v>
      </c>
      <c r="L269" s="8">
        <f t="shared" si="52"/>
        <v>6.6189624329159269</v>
      </c>
      <c r="M269" s="9" t="s">
        <v>31</v>
      </c>
      <c r="N269" s="9" t="s">
        <v>31</v>
      </c>
      <c r="O269" s="9" t="s">
        <v>31</v>
      </c>
      <c r="P269" s="11" t="s">
        <v>31</v>
      </c>
      <c r="Q269" s="11" t="s">
        <v>31</v>
      </c>
      <c r="R269" s="33" t="s">
        <v>31</v>
      </c>
      <c r="S269" s="37">
        <f t="shared" si="55"/>
        <v>2.7474118078864231</v>
      </c>
      <c r="T269" s="37">
        <f t="shared" si="56"/>
        <v>1.8207899161805721</v>
      </c>
      <c r="U269" s="42" t="e">
        <f t="shared" si="57"/>
        <v>#VALUE!</v>
      </c>
      <c r="V269" s="41" t="e">
        <f t="shared" si="58"/>
        <v>#VALUE!</v>
      </c>
      <c r="W269" s="43" t="e">
        <f t="shared" si="59"/>
        <v>#VALUE!</v>
      </c>
      <c r="X269" s="43" t="e">
        <f t="shared" si="60"/>
        <v>#VALUE!</v>
      </c>
    </row>
    <row r="270" spans="1:24" ht="14.25" customHeight="1">
      <c r="A270" s="50"/>
      <c r="B270" s="8">
        <v>4</v>
      </c>
      <c r="C270" s="8">
        <f t="shared" si="51"/>
        <v>2</v>
      </c>
      <c r="D270" s="16" t="s">
        <v>42</v>
      </c>
      <c r="E270" s="16" t="s">
        <v>43</v>
      </c>
      <c r="F270" s="17" t="s">
        <v>59</v>
      </c>
      <c r="G270" s="17" t="s">
        <v>37</v>
      </c>
      <c r="H270" s="17" t="s">
        <v>29</v>
      </c>
      <c r="I270" s="17" t="s">
        <v>136</v>
      </c>
      <c r="J270" s="8">
        <v>55.9</v>
      </c>
      <c r="K270" s="8">
        <v>58.91</v>
      </c>
      <c r="L270" s="8">
        <f t="shared" si="52"/>
        <v>5.3846153846153815</v>
      </c>
      <c r="M270" s="9" t="s">
        <v>31</v>
      </c>
      <c r="N270" s="9" t="s">
        <v>31</v>
      </c>
      <c r="O270" s="9" t="s">
        <v>31</v>
      </c>
      <c r="P270" s="11" t="s">
        <v>31</v>
      </c>
      <c r="Q270" s="11" t="s">
        <v>31</v>
      </c>
      <c r="R270" s="33" t="s">
        <v>31</v>
      </c>
      <c r="S270" s="37">
        <f t="shared" si="55"/>
        <v>2.7474118078864231</v>
      </c>
      <c r="T270" s="37">
        <f t="shared" si="56"/>
        <v>1.7311546877074198</v>
      </c>
      <c r="U270" s="42" t="e">
        <f t="shared" si="57"/>
        <v>#VALUE!</v>
      </c>
      <c r="V270" s="41" t="e">
        <f t="shared" si="58"/>
        <v>#VALUE!</v>
      </c>
      <c r="W270" s="43" t="e">
        <f t="shared" si="59"/>
        <v>#VALUE!</v>
      </c>
      <c r="X270" s="43" t="e">
        <f t="shared" si="60"/>
        <v>#VALUE!</v>
      </c>
    </row>
    <row r="271" spans="1:24" ht="14.25" customHeight="1">
      <c r="A271" s="45" t="s">
        <v>137</v>
      </c>
      <c r="B271" s="8">
        <v>2</v>
      </c>
      <c r="C271" s="8">
        <f t="shared" si="51"/>
        <v>1</v>
      </c>
      <c r="D271" s="16" t="s">
        <v>42</v>
      </c>
      <c r="E271" s="16" t="s">
        <v>129</v>
      </c>
      <c r="F271" s="17" t="s">
        <v>59</v>
      </c>
      <c r="G271" s="17" t="s">
        <v>28</v>
      </c>
      <c r="H271" s="17" t="s">
        <v>29</v>
      </c>
      <c r="I271" s="17" t="s">
        <v>46</v>
      </c>
      <c r="J271" s="8">
        <v>5.6</v>
      </c>
      <c r="K271" s="8">
        <v>6.2</v>
      </c>
      <c r="L271" s="8">
        <f t="shared" si="52"/>
        <v>10.714285714285724</v>
      </c>
      <c r="M271" s="9">
        <v>131</v>
      </c>
      <c r="N271" s="9">
        <v>160</v>
      </c>
      <c r="O271" s="10">
        <f t="shared" si="53"/>
        <v>22.137404580152673</v>
      </c>
      <c r="P271" s="11" t="s">
        <v>31</v>
      </c>
      <c r="Q271" s="11" t="s">
        <v>31</v>
      </c>
      <c r="R271" s="33" t="s">
        <v>31</v>
      </c>
      <c r="S271" s="37">
        <f t="shared" si="55"/>
        <v>1.7481880270062005</v>
      </c>
      <c r="T271" s="37">
        <f t="shared" si="56"/>
        <v>2.0299632233774436</v>
      </c>
      <c r="U271" s="42">
        <f t="shared" si="57"/>
        <v>3.1172712956557644</v>
      </c>
      <c r="V271" s="41">
        <f t="shared" si="58"/>
        <v>2.3451267022431916</v>
      </c>
      <c r="W271" s="43" t="e">
        <f t="shared" si="59"/>
        <v>#VALUE!</v>
      </c>
      <c r="X271" s="43" t="e">
        <f t="shared" si="60"/>
        <v>#VALUE!</v>
      </c>
    </row>
    <row r="272" spans="1:24" ht="14.25" customHeight="1">
      <c r="A272" s="46"/>
      <c r="B272" s="8">
        <v>4</v>
      </c>
      <c r="C272" s="8">
        <f t="shared" si="51"/>
        <v>2</v>
      </c>
      <c r="D272" s="16" t="s">
        <v>42</v>
      </c>
      <c r="E272" s="16" t="s">
        <v>129</v>
      </c>
      <c r="F272" s="17" t="s">
        <v>59</v>
      </c>
      <c r="G272" s="17" t="s">
        <v>37</v>
      </c>
      <c r="H272" s="17" t="s">
        <v>29</v>
      </c>
      <c r="I272" s="17" t="s">
        <v>46</v>
      </c>
      <c r="J272" s="8">
        <v>5.6</v>
      </c>
      <c r="K272" s="8">
        <v>5.4</v>
      </c>
      <c r="L272" s="8">
        <f t="shared" si="52"/>
        <v>-3.5714285714285587</v>
      </c>
      <c r="M272" s="9">
        <v>131</v>
      </c>
      <c r="N272" s="9">
        <v>131</v>
      </c>
      <c r="O272" s="10">
        <f t="shared" si="53"/>
        <v>0</v>
      </c>
      <c r="P272" s="11" t="s">
        <v>31</v>
      </c>
      <c r="Q272" s="11" t="s">
        <v>31</v>
      </c>
      <c r="R272" s="33" t="s">
        <v>31</v>
      </c>
      <c r="S272" s="37">
        <f t="shared" si="55"/>
        <v>1.7481880270062005</v>
      </c>
      <c r="T272" s="37" t="e">
        <f t="shared" si="56"/>
        <v>#NUM!</v>
      </c>
      <c r="U272" s="42">
        <f t="shared" si="57"/>
        <v>3.1172712956557644</v>
      </c>
      <c r="V272" s="41" t="e">
        <f t="shared" si="58"/>
        <v>#NUM!</v>
      </c>
      <c r="W272" s="43" t="e">
        <f t="shared" si="59"/>
        <v>#VALUE!</v>
      </c>
      <c r="X272" s="43" t="e">
        <f t="shared" si="60"/>
        <v>#VALUE!</v>
      </c>
    </row>
    <row r="273" spans="1:24" ht="14.25" customHeight="1">
      <c r="A273" s="46"/>
      <c r="B273" s="8">
        <v>6</v>
      </c>
      <c r="C273" s="8">
        <f t="shared" si="51"/>
        <v>3</v>
      </c>
      <c r="D273" s="16" t="s">
        <v>42</v>
      </c>
      <c r="E273" s="16" t="s">
        <v>129</v>
      </c>
      <c r="F273" s="17" t="s">
        <v>59</v>
      </c>
      <c r="G273" s="17" t="s">
        <v>138</v>
      </c>
      <c r="H273" s="17" t="s">
        <v>29</v>
      </c>
      <c r="I273" s="17" t="s">
        <v>46</v>
      </c>
      <c r="J273" s="8">
        <v>5.6</v>
      </c>
      <c r="K273" s="8">
        <v>5.4</v>
      </c>
      <c r="L273" s="8">
        <f t="shared" si="52"/>
        <v>-3.5714285714285587</v>
      </c>
      <c r="M273" s="9">
        <v>131</v>
      </c>
      <c r="N273" s="9">
        <v>120</v>
      </c>
      <c r="O273" s="10">
        <f t="shared" si="53"/>
        <v>-8.3969465648854964</v>
      </c>
      <c r="P273" s="11" t="s">
        <v>31</v>
      </c>
      <c r="Q273" s="11" t="s">
        <v>31</v>
      </c>
      <c r="R273" s="33" t="s">
        <v>31</v>
      </c>
      <c r="S273" s="37">
        <f t="shared" si="55"/>
        <v>1.7481880270062005</v>
      </c>
      <c r="T273" s="37" t="e">
        <f t="shared" si="56"/>
        <v>#NUM!</v>
      </c>
      <c r="U273" s="42">
        <f t="shared" si="57"/>
        <v>3.1172712956557644</v>
      </c>
      <c r="V273" s="41" t="e">
        <f t="shared" si="58"/>
        <v>#NUM!</v>
      </c>
      <c r="W273" s="43" t="e">
        <f t="shared" si="59"/>
        <v>#VALUE!</v>
      </c>
      <c r="X273" s="43" t="e">
        <f t="shared" si="60"/>
        <v>#VALUE!</v>
      </c>
    </row>
    <row r="274" spans="1:24" ht="14.25" customHeight="1">
      <c r="A274" s="49"/>
      <c r="B274" s="8">
        <v>2</v>
      </c>
      <c r="C274" s="8">
        <f t="shared" si="51"/>
        <v>1</v>
      </c>
      <c r="D274" s="16" t="s">
        <v>42</v>
      </c>
      <c r="E274" s="16" t="s">
        <v>129</v>
      </c>
      <c r="F274" s="17" t="s">
        <v>59</v>
      </c>
      <c r="G274" s="17" t="s">
        <v>28</v>
      </c>
      <c r="H274" s="17" t="s">
        <v>29</v>
      </c>
      <c r="I274" s="17" t="s">
        <v>46</v>
      </c>
      <c r="J274" s="8" t="s">
        <v>31</v>
      </c>
      <c r="K274" s="8" t="s">
        <v>31</v>
      </c>
      <c r="L274" s="8" t="s">
        <v>31</v>
      </c>
      <c r="M274" s="9">
        <v>75</v>
      </c>
      <c r="N274" s="9">
        <v>85</v>
      </c>
      <c r="O274" s="10">
        <f t="shared" si="53"/>
        <v>13.333333333333334</v>
      </c>
      <c r="P274" s="11" t="s">
        <v>31</v>
      </c>
      <c r="Q274" s="11" t="s">
        <v>31</v>
      </c>
      <c r="R274" s="33" t="s">
        <v>31</v>
      </c>
      <c r="S274" s="37" t="e">
        <f t="shared" si="55"/>
        <v>#VALUE!</v>
      </c>
      <c r="T274" s="37" t="e">
        <f t="shared" si="56"/>
        <v>#VALUE!</v>
      </c>
      <c r="U274" s="42">
        <f t="shared" si="57"/>
        <v>2.8750612633917001</v>
      </c>
      <c r="V274" s="41">
        <f t="shared" si="58"/>
        <v>2.1249387366082999</v>
      </c>
      <c r="W274" s="43" t="e">
        <f t="shared" si="59"/>
        <v>#VALUE!</v>
      </c>
      <c r="X274" s="43" t="e">
        <f t="shared" si="60"/>
        <v>#VALUE!</v>
      </c>
    </row>
    <row r="275" spans="1:24" ht="14.25" customHeight="1">
      <c r="A275" s="49"/>
      <c r="B275" s="8">
        <v>4</v>
      </c>
      <c r="C275" s="8">
        <f t="shared" si="51"/>
        <v>2</v>
      </c>
      <c r="D275" s="16" t="s">
        <v>42</v>
      </c>
      <c r="E275" s="16" t="s">
        <v>129</v>
      </c>
      <c r="F275" s="17" t="s">
        <v>59</v>
      </c>
      <c r="G275" s="17" t="s">
        <v>37</v>
      </c>
      <c r="H275" s="17" t="s">
        <v>29</v>
      </c>
      <c r="I275" s="17" t="s">
        <v>46</v>
      </c>
      <c r="J275" s="8" t="s">
        <v>31</v>
      </c>
      <c r="K275" s="8" t="s">
        <v>31</v>
      </c>
      <c r="L275" s="8" t="s">
        <v>31</v>
      </c>
      <c r="M275" s="9">
        <v>75</v>
      </c>
      <c r="N275" s="9">
        <v>73</v>
      </c>
      <c r="O275" s="10">
        <f t="shared" si="53"/>
        <v>-2.666666666666667</v>
      </c>
      <c r="P275" s="11" t="s">
        <v>31</v>
      </c>
      <c r="Q275" s="11" t="s">
        <v>31</v>
      </c>
      <c r="R275" s="33" t="s">
        <v>31</v>
      </c>
      <c r="S275" s="37" t="e">
        <f t="shared" si="55"/>
        <v>#VALUE!</v>
      </c>
      <c r="T275" s="37" t="e">
        <f t="shared" si="56"/>
        <v>#VALUE!</v>
      </c>
      <c r="U275" s="42">
        <f t="shared" si="57"/>
        <v>2.8750612633917001</v>
      </c>
      <c r="V275" s="41" t="e">
        <f t="shared" si="58"/>
        <v>#NUM!</v>
      </c>
      <c r="W275" s="43" t="e">
        <f t="shared" si="59"/>
        <v>#VALUE!</v>
      </c>
      <c r="X275" s="43" t="e">
        <f t="shared" si="60"/>
        <v>#VALUE!</v>
      </c>
    </row>
    <row r="276" spans="1:24" ht="14.25" customHeight="1">
      <c r="A276" s="50"/>
      <c r="B276" s="8">
        <v>6</v>
      </c>
      <c r="C276" s="8">
        <f t="shared" si="51"/>
        <v>3</v>
      </c>
      <c r="D276" s="16" t="s">
        <v>42</v>
      </c>
      <c r="E276" s="16" t="s">
        <v>129</v>
      </c>
      <c r="F276" s="17" t="s">
        <v>59</v>
      </c>
      <c r="G276" s="17" t="s">
        <v>138</v>
      </c>
      <c r="H276" s="17" t="s">
        <v>29</v>
      </c>
      <c r="I276" s="17" t="s">
        <v>46</v>
      </c>
      <c r="J276" s="8" t="s">
        <v>31</v>
      </c>
      <c r="K276" s="8" t="s">
        <v>31</v>
      </c>
      <c r="L276" s="8" t="s">
        <v>31</v>
      </c>
      <c r="M276" s="9">
        <v>75</v>
      </c>
      <c r="N276" s="9">
        <v>73</v>
      </c>
      <c r="O276" s="10">
        <f t="shared" si="53"/>
        <v>-2.666666666666667</v>
      </c>
      <c r="P276" s="11" t="s">
        <v>31</v>
      </c>
      <c r="Q276" s="11" t="s">
        <v>31</v>
      </c>
      <c r="R276" s="33" t="s">
        <v>31</v>
      </c>
      <c r="S276" s="37" t="e">
        <f t="shared" si="55"/>
        <v>#VALUE!</v>
      </c>
      <c r="T276" s="37" t="e">
        <f t="shared" si="56"/>
        <v>#VALUE!</v>
      </c>
      <c r="U276" s="42">
        <f t="shared" si="57"/>
        <v>2.8750612633917001</v>
      </c>
      <c r="V276" s="41" t="e">
        <f t="shared" si="58"/>
        <v>#NUM!</v>
      </c>
      <c r="W276" s="43" t="e">
        <f t="shared" si="59"/>
        <v>#VALUE!</v>
      </c>
      <c r="X276" s="43" t="e">
        <f t="shared" si="60"/>
        <v>#VALUE!</v>
      </c>
    </row>
    <row r="277" spans="1:24" ht="14.25" customHeight="1">
      <c r="A277" s="45" t="s">
        <v>139</v>
      </c>
      <c r="B277" s="8">
        <v>2</v>
      </c>
      <c r="C277" s="8">
        <f t="shared" si="51"/>
        <v>1</v>
      </c>
      <c r="D277" s="16" t="s">
        <v>42</v>
      </c>
      <c r="E277" s="16" t="s">
        <v>43</v>
      </c>
      <c r="F277" s="17" t="s">
        <v>59</v>
      </c>
      <c r="G277" s="17" t="s">
        <v>37</v>
      </c>
      <c r="H277" s="17" t="s">
        <v>29</v>
      </c>
      <c r="I277" s="17" t="s">
        <v>46</v>
      </c>
      <c r="J277" s="8" t="s">
        <v>31</v>
      </c>
      <c r="K277" s="8" t="s">
        <v>31</v>
      </c>
      <c r="L277" s="8" t="s">
        <v>31</v>
      </c>
      <c r="M277" s="9">
        <v>127</v>
      </c>
      <c r="N277" s="9">
        <v>137</v>
      </c>
      <c r="O277" s="10">
        <f t="shared" si="53"/>
        <v>7.8740157480314963</v>
      </c>
      <c r="P277" s="11" t="s">
        <v>31</v>
      </c>
      <c r="Q277" s="11" t="s">
        <v>31</v>
      </c>
      <c r="R277" s="33" t="s">
        <v>31</v>
      </c>
      <c r="S277" s="37" t="e">
        <f t="shared" si="55"/>
        <v>#VALUE!</v>
      </c>
      <c r="T277" s="37" t="e">
        <f t="shared" si="56"/>
        <v>#VALUE!</v>
      </c>
      <c r="U277" s="42">
        <f t="shared" si="57"/>
        <v>3.1038037209559568</v>
      </c>
      <c r="V277" s="41">
        <f t="shared" si="58"/>
        <v>1.8961962790440432</v>
      </c>
      <c r="W277" s="43" t="e">
        <f t="shared" si="59"/>
        <v>#VALUE!</v>
      </c>
      <c r="X277" s="43" t="e">
        <f t="shared" si="60"/>
        <v>#VALUE!</v>
      </c>
    </row>
    <row r="278" spans="1:24" ht="14.25" customHeight="1">
      <c r="A278" s="49"/>
      <c r="B278" s="8">
        <v>4</v>
      </c>
      <c r="C278" s="8">
        <f t="shared" si="51"/>
        <v>2</v>
      </c>
      <c r="D278" s="16" t="s">
        <v>42</v>
      </c>
      <c r="E278" s="16" t="s">
        <v>43</v>
      </c>
      <c r="F278" s="17" t="s">
        <v>59</v>
      </c>
      <c r="G278" s="17" t="s">
        <v>37</v>
      </c>
      <c r="H278" s="17" t="s">
        <v>29</v>
      </c>
      <c r="I278" s="17" t="s">
        <v>46</v>
      </c>
      <c r="J278" s="8" t="s">
        <v>31</v>
      </c>
      <c r="K278" s="8" t="s">
        <v>31</v>
      </c>
      <c r="L278" s="8" t="s">
        <v>31</v>
      </c>
      <c r="M278" s="9">
        <v>127</v>
      </c>
      <c r="N278" s="9">
        <v>140</v>
      </c>
      <c r="O278" s="10">
        <f t="shared" si="53"/>
        <v>10.236220472440944</v>
      </c>
      <c r="P278" s="11" t="s">
        <v>31</v>
      </c>
      <c r="Q278" s="11" t="s">
        <v>31</v>
      </c>
      <c r="R278" s="33" t="s">
        <v>31</v>
      </c>
      <c r="S278" s="37" t="e">
        <f t="shared" si="55"/>
        <v>#VALUE!</v>
      </c>
      <c r="T278" s="37" t="e">
        <f t="shared" si="56"/>
        <v>#VALUE!</v>
      </c>
      <c r="U278" s="42">
        <f t="shared" si="57"/>
        <v>3.1038037209559568</v>
      </c>
      <c r="V278" s="41">
        <f t="shared" si="58"/>
        <v>2.0101396313508797</v>
      </c>
      <c r="W278" s="43" t="e">
        <f t="shared" si="59"/>
        <v>#VALUE!</v>
      </c>
      <c r="X278" s="43" t="e">
        <f t="shared" si="60"/>
        <v>#VALUE!</v>
      </c>
    </row>
    <row r="279" spans="1:24" ht="14.25" customHeight="1">
      <c r="A279" s="49"/>
      <c r="B279" s="8">
        <v>2</v>
      </c>
      <c r="C279" s="8">
        <f t="shared" si="51"/>
        <v>1</v>
      </c>
      <c r="D279" s="16" t="s">
        <v>42</v>
      </c>
      <c r="E279" s="16" t="s">
        <v>43</v>
      </c>
      <c r="F279" s="17" t="s">
        <v>59</v>
      </c>
      <c r="G279" s="17" t="s">
        <v>37</v>
      </c>
      <c r="H279" s="17" t="s">
        <v>29</v>
      </c>
      <c r="I279" s="17" t="s">
        <v>46</v>
      </c>
      <c r="J279" s="8" t="s">
        <v>31</v>
      </c>
      <c r="K279" s="8" t="s">
        <v>31</v>
      </c>
      <c r="L279" s="8" t="s">
        <v>31</v>
      </c>
      <c r="M279" s="9">
        <v>350</v>
      </c>
      <c r="N279" s="9">
        <v>378</v>
      </c>
      <c r="O279" s="10">
        <f t="shared" si="53"/>
        <v>8</v>
      </c>
      <c r="P279" s="11" t="s">
        <v>31</v>
      </c>
      <c r="Q279" s="11" t="s">
        <v>31</v>
      </c>
      <c r="R279" s="33" t="s">
        <v>31</v>
      </c>
      <c r="S279" s="37" t="e">
        <f t="shared" si="55"/>
        <v>#VALUE!</v>
      </c>
      <c r="T279" s="37" t="e">
        <f t="shared" si="56"/>
        <v>#VALUE!</v>
      </c>
      <c r="U279" s="42">
        <f t="shared" si="57"/>
        <v>3.5440680443502757</v>
      </c>
      <c r="V279" s="41">
        <f t="shared" si="58"/>
        <v>1.9030899869919435</v>
      </c>
      <c r="W279" s="43" t="e">
        <f t="shared" si="59"/>
        <v>#VALUE!</v>
      </c>
      <c r="X279" s="43" t="e">
        <f t="shared" si="60"/>
        <v>#VALUE!</v>
      </c>
    </row>
    <row r="280" spans="1:24" ht="14.25" customHeight="1">
      <c r="A280" s="50"/>
      <c r="B280" s="8">
        <v>4</v>
      </c>
      <c r="C280" s="8">
        <f t="shared" si="51"/>
        <v>2</v>
      </c>
      <c r="D280" s="16" t="s">
        <v>42</v>
      </c>
      <c r="E280" s="16" t="s">
        <v>43</v>
      </c>
      <c r="F280" s="17" t="s">
        <v>59</v>
      </c>
      <c r="G280" s="17" t="s">
        <v>37</v>
      </c>
      <c r="H280" s="17" t="s">
        <v>29</v>
      </c>
      <c r="I280" s="17" t="s">
        <v>46</v>
      </c>
      <c r="J280" s="8" t="s">
        <v>31</v>
      </c>
      <c r="K280" s="8" t="s">
        <v>31</v>
      </c>
      <c r="L280" s="8" t="s">
        <v>31</v>
      </c>
      <c r="M280" s="9">
        <v>350</v>
      </c>
      <c r="N280" s="9">
        <v>399</v>
      </c>
      <c r="O280" s="10">
        <f t="shared" si="53"/>
        <v>14.000000000000002</v>
      </c>
      <c r="P280" s="11" t="s">
        <v>31</v>
      </c>
      <c r="Q280" s="11" t="s">
        <v>31</v>
      </c>
      <c r="R280" s="33" t="s">
        <v>31</v>
      </c>
      <c r="S280" s="37" t="e">
        <f t="shared" si="55"/>
        <v>#VALUE!</v>
      </c>
      <c r="T280" s="37" t="e">
        <f t="shared" si="56"/>
        <v>#VALUE!</v>
      </c>
      <c r="U280" s="42">
        <f t="shared" si="57"/>
        <v>3.5440680443502757</v>
      </c>
      <c r="V280" s="41">
        <f t="shared" si="58"/>
        <v>2.1461280356782382</v>
      </c>
      <c r="W280" s="43" t="e">
        <f t="shared" si="59"/>
        <v>#VALUE!</v>
      </c>
      <c r="X280" s="43" t="e">
        <f t="shared" si="60"/>
        <v>#VALUE!</v>
      </c>
    </row>
    <row r="281" spans="1:24" ht="14.25" customHeight="1">
      <c r="A281" s="45" t="s">
        <v>140</v>
      </c>
      <c r="B281" s="8">
        <v>0.5</v>
      </c>
      <c r="C281" s="8">
        <f t="shared" si="51"/>
        <v>0.25</v>
      </c>
      <c r="D281" s="16" t="s">
        <v>42</v>
      </c>
      <c r="E281" s="16" t="s">
        <v>43</v>
      </c>
      <c r="F281" s="17" t="s">
        <v>59</v>
      </c>
      <c r="G281" s="17" t="s">
        <v>35</v>
      </c>
      <c r="H281" s="17" t="s">
        <v>29</v>
      </c>
      <c r="I281" s="17" t="s">
        <v>141</v>
      </c>
      <c r="J281" s="8">
        <v>3.04</v>
      </c>
      <c r="K281" s="8">
        <v>3.14</v>
      </c>
      <c r="L281" s="8">
        <f t="shared" si="52"/>
        <v>3.2894736842105288</v>
      </c>
      <c r="M281" s="9">
        <v>97.5</v>
      </c>
      <c r="N281" s="9">
        <v>108.9</v>
      </c>
      <c r="O281" s="10">
        <f t="shared" si="53"/>
        <v>11.692307692307697</v>
      </c>
      <c r="P281" s="11" t="s">
        <v>31</v>
      </c>
      <c r="Q281" s="11" t="s">
        <v>31</v>
      </c>
      <c r="R281" s="33" t="s">
        <v>31</v>
      </c>
      <c r="S281" s="37">
        <f t="shared" si="55"/>
        <v>1.4828735836087537</v>
      </c>
      <c r="T281" s="37">
        <f t="shared" si="56"/>
        <v>1.5171264163912466</v>
      </c>
      <c r="U281" s="42">
        <f t="shared" si="57"/>
        <v>2.989004615698537</v>
      </c>
      <c r="V281" s="41">
        <f t="shared" si="58"/>
        <v>2.0679002356379361</v>
      </c>
      <c r="W281" s="43" t="e">
        <f t="shared" si="59"/>
        <v>#VALUE!</v>
      </c>
      <c r="X281" s="43" t="e">
        <f t="shared" si="60"/>
        <v>#VALUE!</v>
      </c>
    </row>
    <row r="282" spans="1:24" ht="14.25" customHeight="1">
      <c r="A282" s="46"/>
      <c r="B282" s="8">
        <v>1</v>
      </c>
      <c r="C282" s="8">
        <f t="shared" si="51"/>
        <v>0.5</v>
      </c>
      <c r="D282" s="16" t="s">
        <v>42</v>
      </c>
      <c r="E282" s="16" t="s">
        <v>43</v>
      </c>
      <c r="F282" s="17" t="s">
        <v>59</v>
      </c>
      <c r="G282" s="17" t="s">
        <v>35</v>
      </c>
      <c r="H282" s="17" t="s">
        <v>29</v>
      </c>
      <c r="I282" s="17" t="s">
        <v>141</v>
      </c>
      <c r="J282" s="8">
        <v>3.04</v>
      </c>
      <c r="K282" s="8">
        <v>3.21</v>
      </c>
      <c r="L282" s="8">
        <f t="shared" si="52"/>
        <v>5.592105263157892</v>
      </c>
      <c r="M282" s="9">
        <v>97.5</v>
      </c>
      <c r="N282" s="9">
        <v>109.7</v>
      </c>
      <c r="O282" s="10">
        <f t="shared" si="53"/>
        <v>12.512820512820516</v>
      </c>
      <c r="P282" s="11" t="s">
        <v>31</v>
      </c>
      <c r="Q282" s="11" t="s">
        <v>31</v>
      </c>
      <c r="R282" s="33" t="s">
        <v>31</v>
      </c>
      <c r="S282" s="37">
        <f t="shared" si="55"/>
        <v>1.4828735836087537</v>
      </c>
      <c r="T282" s="37">
        <f t="shared" si="56"/>
        <v>1.74757533776952</v>
      </c>
      <c r="U282" s="42">
        <f t="shared" si="57"/>
        <v>2.989004615698537</v>
      </c>
      <c r="V282" s="41">
        <f t="shared" si="58"/>
        <v>2.0973552149762114</v>
      </c>
      <c r="W282" s="43" t="e">
        <f t="shared" si="59"/>
        <v>#VALUE!</v>
      </c>
      <c r="X282" s="43" t="e">
        <f t="shared" si="60"/>
        <v>#VALUE!</v>
      </c>
    </row>
    <row r="283" spans="1:24" ht="14.25" customHeight="1">
      <c r="A283" s="46"/>
      <c r="B283" s="8">
        <v>1.5</v>
      </c>
      <c r="C283" s="8">
        <f t="shared" si="51"/>
        <v>0.75</v>
      </c>
      <c r="D283" s="16" t="s">
        <v>42</v>
      </c>
      <c r="E283" s="16" t="s">
        <v>43</v>
      </c>
      <c r="F283" s="17" t="s">
        <v>59</v>
      </c>
      <c r="G283" s="17" t="s">
        <v>35</v>
      </c>
      <c r="H283" s="17" t="s">
        <v>29</v>
      </c>
      <c r="I283" s="17" t="s">
        <v>141</v>
      </c>
      <c r="J283" s="8">
        <v>3.04</v>
      </c>
      <c r="K283" s="8">
        <v>3.12</v>
      </c>
      <c r="L283" s="8">
        <f t="shared" si="52"/>
        <v>2.6315789473684235</v>
      </c>
      <c r="M283" s="9">
        <v>97.5</v>
      </c>
      <c r="N283" s="9">
        <v>105.5</v>
      </c>
      <c r="O283" s="10">
        <f t="shared" si="53"/>
        <v>8.2051282051282044</v>
      </c>
      <c r="P283" s="11" t="s">
        <v>31</v>
      </c>
      <c r="Q283" s="11" t="s">
        <v>31</v>
      </c>
      <c r="R283" s="33" t="s">
        <v>31</v>
      </c>
      <c r="S283" s="37">
        <f t="shared" si="55"/>
        <v>1.4828735836087537</v>
      </c>
      <c r="T283" s="37">
        <f t="shared" si="56"/>
        <v>1.4202164033831903</v>
      </c>
      <c r="U283" s="42">
        <f t="shared" si="57"/>
        <v>2.989004615698537</v>
      </c>
      <c r="V283" s="41">
        <f t="shared" si="58"/>
        <v>1.9140853712934067</v>
      </c>
      <c r="W283" s="43" t="e">
        <f t="shared" si="59"/>
        <v>#VALUE!</v>
      </c>
      <c r="X283" s="43" t="e">
        <f t="shared" si="60"/>
        <v>#VALUE!</v>
      </c>
    </row>
    <row r="284" spans="1:24" ht="14.25" customHeight="1">
      <c r="A284" s="46"/>
      <c r="B284" s="8">
        <v>2</v>
      </c>
      <c r="C284" s="8">
        <f t="shared" si="51"/>
        <v>1</v>
      </c>
      <c r="D284" s="16" t="s">
        <v>42</v>
      </c>
      <c r="E284" s="16" t="s">
        <v>43</v>
      </c>
      <c r="F284" s="17" t="s">
        <v>59</v>
      </c>
      <c r="G284" s="17" t="s">
        <v>35</v>
      </c>
      <c r="H284" s="17" t="s">
        <v>29</v>
      </c>
      <c r="I284" s="17" t="s">
        <v>141</v>
      </c>
      <c r="J284" s="8">
        <v>3.04</v>
      </c>
      <c r="K284" s="8">
        <v>3.06</v>
      </c>
      <c r="L284" s="8">
        <f t="shared" ref="L284:L347" si="61">(K284-J284)/J284*100</f>
        <v>0.65789473684210587</v>
      </c>
      <c r="M284" s="9">
        <v>97.5</v>
      </c>
      <c r="N284" s="9">
        <v>94.5</v>
      </c>
      <c r="O284" s="10">
        <f t="shared" si="53"/>
        <v>-3.0769230769230771</v>
      </c>
      <c r="P284" s="11" t="s">
        <v>31</v>
      </c>
      <c r="Q284" s="11" t="s">
        <v>31</v>
      </c>
      <c r="R284" s="33" t="s">
        <v>31</v>
      </c>
      <c r="S284" s="37">
        <f t="shared" si="55"/>
        <v>1.4828735836087537</v>
      </c>
      <c r="T284" s="37">
        <f t="shared" si="56"/>
        <v>0.81815641205522782</v>
      </c>
      <c r="U284" s="42">
        <f t="shared" si="57"/>
        <v>2.989004615698537</v>
      </c>
      <c r="V284" s="41" t="e">
        <f t="shared" si="58"/>
        <v>#NUM!</v>
      </c>
      <c r="W284" s="43" t="e">
        <f t="shared" si="59"/>
        <v>#VALUE!</v>
      </c>
      <c r="X284" s="43" t="e">
        <f t="shared" si="60"/>
        <v>#VALUE!</v>
      </c>
    </row>
    <row r="285" spans="1:24" ht="14.25" customHeight="1">
      <c r="A285" s="46"/>
      <c r="B285" s="8">
        <v>0.5</v>
      </c>
      <c r="C285" s="8">
        <f t="shared" si="51"/>
        <v>0.25</v>
      </c>
      <c r="D285" s="16" t="s">
        <v>42</v>
      </c>
      <c r="E285" s="16" t="s">
        <v>43</v>
      </c>
      <c r="F285" s="17" t="s">
        <v>59</v>
      </c>
      <c r="G285" s="17" t="s">
        <v>35</v>
      </c>
      <c r="H285" s="17" t="s">
        <v>29</v>
      </c>
      <c r="I285" s="17" t="s">
        <v>141</v>
      </c>
      <c r="J285" s="8">
        <v>3.04</v>
      </c>
      <c r="K285" s="8">
        <v>3.4</v>
      </c>
      <c r="L285" s="8">
        <f t="shared" si="61"/>
        <v>11.84210526315789</v>
      </c>
      <c r="M285" s="9">
        <v>97.5</v>
      </c>
      <c r="N285" s="9">
        <v>105.6</v>
      </c>
      <c r="O285" s="10">
        <f t="shared" si="53"/>
        <v>8.3076923076923013</v>
      </c>
      <c r="P285" s="11" t="s">
        <v>31</v>
      </c>
      <c r="Q285" s="11" t="s">
        <v>31</v>
      </c>
      <c r="R285" s="33" t="s">
        <v>31</v>
      </c>
      <c r="S285" s="37">
        <f t="shared" si="55"/>
        <v>1.4828735836087537</v>
      </c>
      <c r="T285" s="37">
        <f t="shared" si="56"/>
        <v>2.0734289171585334</v>
      </c>
      <c r="U285" s="42">
        <f t="shared" si="57"/>
        <v>2.989004615698537</v>
      </c>
      <c r="V285" s="41">
        <f t="shared" si="58"/>
        <v>1.9194804031801125</v>
      </c>
      <c r="W285" s="43" t="e">
        <f t="shared" si="59"/>
        <v>#VALUE!</v>
      </c>
      <c r="X285" s="43" t="e">
        <f t="shared" si="60"/>
        <v>#VALUE!</v>
      </c>
    </row>
    <row r="286" spans="1:24" ht="14.25" customHeight="1">
      <c r="A286" s="49"/>
      <c r="B286" s="8">
        <v>1</v>
      </c>
      <c r="C286" s="8">
        <f t="shared" si="51"/>
        <v>0.5</v>
      </c>
      <c r="D286" s="16" t="s">
        <v>42</v>
      </c>
      <c r="E286" s="16" t="s">
        <v>43</v>
      </c>
      <c r="F286" s="17" t="s">
        <v>59</v>
      </c>
      <c r="G286" s="17" t="s">
        <v>35</v>
      </c>
      <c r="H286" s="17" t="s">
        <v>29</v>
      </c>
      <c r="I286" s="17" t="s">
        <v>141</v>
      </c>
      <c r="J286" s="8">
        <v>3.04</v>
      </c>
      <c r="K286" s="8">
        <v>3.42</v>
      </c>
      <c r="L286" s="8">
        <f t="shared" si="61"/>
        <v>12.499999999999996</v>
      </c>
      <c r="M286" s="9">
        <v>97.5</v>
      </c>
      <c r="N286" s="9">
        <v>104.8</v>
      </c>
      <c r="O286" s="10">
        <f t="shared" si="53"/>
        <v>7.4871794871794837</v>
      </c>
      <c r="P286" s="11" t="s">
        <v>31</v>
      </c>
      <c r="Q286" s="11" t="s">
        <v>31</v>
      </c>
      <c r="R286" s="33" t="s">
        <v>31</v>
      </c>
      <c r="S286" s="37">
        <f t="shared" si="55"/>
        <v>1.4828735836087537</v>
      </c>
      <c r="T286" s="37">
        <f t="shared" si="56"/>
        <v>2.0969100130080562</v>
      </c>
      <c r="U286" s="42">
        <f t="shared" si="57"/>
        <v>2.989004615698537</v>
      </c>
      <c r="V286" s="41">
        <f t="shared" si="58"/>
        <v>1.8743182444219189</v>
      </c>
      <c r="W286" s="43" t="e">
        <f t="shared" si="59"/>
        <v>#VALUE!</v>
      </c>
      <c r="X286" s="43" t="e">
        <f t="shared" si="60"/>
        <v>#VALUE!</v>
      </c>
    </row>
    <row r="287" spans="1:24" ht="14.25" customHeight="1">
      <c r="A287" s="49"/>
      <c r="B287" s="8">
        <v>1.5</v>
      </c>
      <c r="C287" s="8">
        <f t="shared" si="51"/>
        <v>0.75</v>
      </c>
      <c r="D287" s="16" t="s">
        <v>42</v>
      </c>
      <c r="E287" s="16" t="s">
        <v>43</v>
      </c>
      <c r="F287" s="17" t="s">
        <v>59</v>
      </c>
      <c r="G287" s="17" t="s">
        <v>35</v>
      </c>
      <c r="H287" s="17" t="s">
        <v>29</v>
      </c>
      <c r="I287" s="17" t="s">
        <v>141</v>
      </c>
      <c r="J287" s="8">
        <v>3.04</v>
      </c>
      <c r="K287" s="8">
        <v>3.47</v>
      </c>
      <c r="L287" s="8">
        <f t="shared" si="61"/>
        <v>14.144736842105269</v>
      </c>
      <c r="M287" s="9">
        <v>97.5</v>
      </c>
      <c r="N287" s="9">
        <v>107</v>
      </c>
      <c r="O287" s="10">
        <f t="shared" si="53"/>
        <v>9.7435897435897445</v>
      </c>
      <c r="P287" s="11" t="s">
        <v>31</v>
      </c>
      <c r="Q287" s="11" t="s">
        <v>31</v>
      </c>
      <c r="R287" s="33" t="s">
        <v>31</v>
      </c>
      <c r="S287" s="37">
        <f t="shared" si="55"/>
        <v>1.4828735836087537</v>
      </c>
      <c r="T287" s="37">
        <f t="shared" si="56"/>
        <v>2.1505948719708328</v>
      </c>
      <c r="U287" s="42">
        <f t="shared" si="57"/>
        <v>2.989004615698537</v>
      </c>
      <c r="V287" s="41">
        <f t="shared" si="58"/>
        <v>1.988718989590311</v>
      </c>
      <c r="W287" s="43" t="e">
        <f t="shared" si="59"/>
        <v>#VALUE!</v>
      </c>
      <c r="X287" s="43" t="e">
        <f t="shared" si="60"/>
        <v>#VALUE!</v>
      </c>
    </row>
    <row r="288" spans="1:24" ht="14.25" customHeight="1">
      <c r="A288" s="50"/>
      <c r="B288" s="8">
        <v>2</v>
      </c>
      <c r="C288" s="8">
        <f t="shared" si="51"/>
        <v>1</v>
      </c>
      <c r="D288" s="16" t="s">
        <v>42</v>
      </c>
      <c r="E288" s="16" t="s">
        <v>43</v>
      </c>
      <c r="F288" s="17" t="s">
        <v>59</v>
      </c>
      <c r="G288" s="17" t="s">
        <v>35</v>
      </c>
      <c r="H288" s="17" t="s">
        <v>29</v>
      </c>
      <c r="I288" s="17" t="s">
        <v>141</v>
      </c>
      <c r="J288" s="8">
        <v>3.04</v>
      </c>
      <c r="K288" s="8">
        <v>3.12</v>
      </c>
      <c r="L288" s="8">
        <f t="shared" si="61"/>
        <v>2.6315789473684235</v>
      </c>
      <c r="M288" s="9">
        <v>97.5</v>
      </c>
      <c r="N288" s="9">
        <v>100.6</v>
      </c>
      <c r="O288" s="10">
        <f t="shared" si="53"/>
        <v>3.1794871794871735</v>
      </c>
      <c r="P288" s="11" t="s">
        <v>31</v>
      </c>
      <c r="Q288" s="11" t="s">
        <v>31</v>
      </c>
      <c r="R288" s="33" t="s">
        <v>31</v>
      </c>
      <c r="S288" s="37">
        <f t="shared" si="55"/>
        <v>1.4828735836087537</v>
      </c>
      <c r="T288" s="37">
        <f t="shared" si="56"/>
        <v>1.4202164033831903</v>
      </c>
      <c r="U288" s="42">
        <f t="shared" si="57"/>
        <v>2.989004615698537</v>
      </c>
      <c r="V288" s="41">
        <f t="shared" si="58"/>
        <v>1.5023570781357352</v>
      </c>
      <c r="W288" s="43" t="e">
        <f t="shared" si="59"/>
        <v>#VALUE!</v>
      </c>
      <c r="X288" s="43" t="e">
        <f t="shared" si="60"/>
        <v>#VALUE!</v>
      </c>
    </row>
    <row r="289" spans="1:24" ht="14.25" customHeight="1">
      <c r="A289" s="45" t="s">
        <v>142</v>
      </c>
      <c r="B289" s="8">
        <v>0.1</v>
      </c>
      <c r="C289" s="8">
        <f t="shared" si="51"/>
        <v>0.05</v>
      </c>
      <c r="D289" s="16" t="s">
        <v>42</v>
      </c>
      <c r="E289" s="16" t="s">
        <v>143</v>
      </c>
      <c r="F289" s="17" t="s">
        <v>112</v>
      </c>
      <c r="G289" s="17" t="s">
        <v>28</v>
      </c>
      <c r="H289" s="17" t="s">
        <v>29</v>
      </c>
      <c r="I289" s="17" t="s">
        <v>144</v>
      </c>
      <c r="J289" s="8">
        <v>2.59</v>
      </c>
      <c r="K289" s="8">
        <v>2.69</v>
      </c>
      <c r="L289" s="8">
        <f t="shared" si="61"/>
        <v>3.8610038610038644</v>
      </c>
      <c r="M289" s="9">
        <v>63.8</v>
      </c>
      <c r="N289" s="9">
        <v>66.3</v>
      </c>
      <c r="O289" s="10">
        <f t="shared" si="53"/>
        <v>3.9184952978056429</v>
      </c>
      <c r="P289" s="11" t="s">
        <v>31</v>
      </c>
      <c r="Q289" s="11" t="s">
        <v>31</v>
      </c>
      <c r="R289" s="33" t="s">
        <v>31</v>
      </c>
      <c r="S289" s="37">
        <f t="shared" si="55"/>
        <v>1.4132997640812519</v>
      </c>
      <c r="T289" s="37">
        <f t="shared" si="56"/>
        <v>1.5867002359187485</v>
      </c>
      <c r="U289" s="42">
        <f t="shared" si="57"/>
        <v>2.8048206787211623</v>
      </c>
      <c r="V289" s="41">
        <f t="shared" si="58"/>
        <v>1.5931193299508752</v>
      </c>
      <c r="W289" s="43" t="e">
        <f t="shared" si="59"/>
        <v>#VALUE!</v>
      </c>
      <c r="X289" s="43" t="e">
        <f t="shared" si="60"/>
        <v>#VALUE!</v>
      </c>
    </row>
    <row r="290" spans="1:24" ht="14.25" customHeight="1">
      <c r="A290" s="46"/>
      <c r="B290" s="8">
        <v>1</v>
      </c>
      <c r="C290" s="8">
        <f t="shared" si="51"/>
        <v>0.5</v>
      </c>
      <c r="D290" s="16" t="s">
        <v>42</v>
      </c>
      <c r="E290" s="16" t="s">
        <v>43</v>
      </c>
      <c r="F290" s="17" t="s">
        <v>112</v>
      </c>
      <c r="G290" s="17" t="s">
        <v>28</v>
      </c>
      <c r="H290" s="17" t="s">
        <v>29</v>
      </c>
      <c r="I290" s="17" t="s">
        <v>145</v>
      </c>
      <c r="J290" s="8">
        <v>2.76</v>
      </c>
      <c r="K290" s="8">
        <v>3.49</v>
      </c>
      <c r="L290" s="8">
        <f t="shared" si="61"/>
        <v>26.449275362318858</v>
      </c>
      <c r="M290" s="9">
        <v>64.099999999999994</v>
      </c>
      <c r="N290" s="9">
        <v>74.7</v>
      </c>
      <c r="O290" s="10">
        <f t="shared" si="53"/>
        <v>16.536661466458675</v>
      </c>
      <c r="P290" s="11">
        <v>3.24</v>
      </c>
      <c r="Q290" s="11">
        <v>3.32</v>
      </c>
      <c r="R290" s="33">
        <f t="shared" ref="R290:R338" si="62">((Q290-P290)/P290)*100</f>
        <v>2.4691358024691241</v>
      </c>
      <c r="S290" s="37">
        <f t="shared" si="55"/>
        <v>1.4409090820652177</v>
      </c>
      <c r="T290" s="37">
        <f t="shared" si="56"/>
        <v>2.4224137780552386</v>
      </c>
      <c r="U290" s="42">
        <f t="shared" si="57"/>
        <v>2.8068580295188172</v>
      </c>
      <c r="V290" s="41">
        <f t="shared" si="58"/>
        <v>2.2184478357459532</v>
      </c>
      <c r="W290" s="43">
        <f t="shared" si="59"/>
        <v>1.5105450102066122</v>
      </c>
      <c r="X290" s="43">
        <f t="shared" si="60"/>
        <v>1.3925449767853293</v>
      </c>
    </row>
    <row r="291" spans="1:24" ht="14.25" customHeight="1">
      <c r="A291" s="46"/>
      <c r="B291" s="8">
        <v>0.1</v>
      </c>
      <c r="C291" s="8">
        <f t="shared" si="51"/>
        <v>0.05</v>
      </c>
      <c r="D291" s="16" t="s">
        <v>42</v>
      </c>
      <c r="E291" s="16" t="s">
        <v>146</v>
      </c>
      <c r="F291" s="17" t="s">
        <v>59</v>
      </c>
      <c r="G291" s="17" t="s">
        <v>28</v>
      </c>
      <c r="H291" s="17" t="s">
        <v>29</v>
      </c>
      <c r="I291" s="17" t="s">
        <v>147</v>
      </c>
      <c r="J291" s="8">
        <v>3.28</v>
      </c>
      <c r="K291" s="8">
        <v>3.51</v>
      </c>
      <c r="L291" s="8">
        <f t="shared" si="61"/>
        <v>7.0121951219512191</v>
      </c>
      <c r="M291" s="9">
        <v>63.8</v>
      </c>
      <c r="N291" s="9">
        <v>63.5</v>
      </c>
      <c r="O291" s="10">
        <f t="shared" si="53"/>
        <v>-0.47021943573667274</v>
      </c>
      <c r="P291" s="11" t="s">
        <v>31</v>
      </c>
      <c r="Q291" s="11" t="s">
        <v>31</v>
      </c>
      <c r="R291" s="33" t="s">
        <v>31</v>
      </c>
      <c r="S291" s="37">
        <f t="shared" si="55"/>
        <v>1.515873843711679</v>
      </c>
      <c r="T291" s="37">
        <f t="shared" si="56"/>
        <v>1.8458539923059138</v>
      </c>
      <c r="U291" s="42">
        <f t="shared" si="57"/>
        <v>2.8048206787211623</v>
      </c>
      <c r="V291" s="41" t="e">
        <f t="shared" si="58"/>
        <v>#NUM!</v>
      </c>
      <c r="W291" s="43" t="e">
        <f t="shared" si="59"/>
        <v>#VALUE!</v>
      </c>
      <c r="X291" s="43" t="e">
        <f t="shared" si="60"/>
        <v>#VALUE!</v>
      </c>
    </row>
    <row r="292" spans="1:24" ht="14.25" customHeight="1">
      <c r="A292" s="46"/>
      <c r="B292" s="8">
        <v>0.3</v>
      </c>
      <c r="C292" s="8">
        <f t="shared" si="51"/>
        <v>0.15</v>
      </c>
      <c r="D292" s="16" t="s">
        <v>42</v>
      </c>
      <c r="E292" s="16" t="s">
        <v>148</v>
      </c>
      <c r="F292" s="17" t="s">
        <v>112</v>
      </c>
      <c r="G292" s="17" t="s">
        <v>28</v>
      </c>
      <c r="H292" s="17" t="s">
        <v>29</v>
      </c>
      <c r="I292" s="17" t="s">
        <v>144</v>
      </c>
      <c r="J292" s="8">
        <v>2.59</v>
      </c>
      <c r="K292" s="8">
        <v>2.89</v>
      </c>
      <c r="L292" s="8">
        <f t="shared" si="61"/>
        <v>11.583011583011595</v>
      </c>
      <c r="M292" s="9">
        <v>63.8</v>
      </c>
      <c r="N292" s="9">
        <v>67.8</v>
      </c>
      <c r="O292" s="10">
        <f t="shared" si="53"/>
        <v>6.269592476489029</v>
      </c>
      <c r="P292" s="11" t="s">
        <v>31</v>
      </c>
      <c r="Q292" s="11" t="s">
        <v>31</v>
      </c>
      <c r="R292" s="33" t="s">
        <v>31</v>
      </c>
      <c r="S292" s="37">
        <f t="shared" si="55"/>
        <v>1.4132997640812519</v>
      </c>
      <c r="T292" s="37">
        <f t="shared" si="56"/>
        <v>2.0638214906384111</v>
      </c>
      <c r="U292" s="42">
        <f t="shared" si="57"/>
        <v>2.8048206787211623</v>
      </c>
      <c r="V292" s="41">
        <f t="shared" si="58"/>
        <v>1.7972393126068</v>
      </c>
      <c r="W292" s="43" t="e">
        <f t="shared" si="59"/>
        <v>#VALUE!</v>
      </c>
      <c r="X292" s="43" t="e">
        <f t="shared" si="60"/>
        <v>#VALUE!</v>
      </c>
    </row>
    <row r="293" spans="1:24" ht="14.25" customHeight="1">
      <c r="A293" s="46"/>
      <c r="B293" s="8">
        <v>0.5</v>
      </c>
      <c r="C293" s="8">
        <f t="shared" si="51"/>
        <v>0.25</v>
      </c>
      <c r="D293" s="16" t="s">
        <v>42</v>
      </c>
      <c r="E293" s="16" t="s">
        <v>43</v>
      </c>
      <c r="F293" s="17" t="s">
        <v>112</v>
      </c>
      <c r="G293" s="17" t="s">
        <v>28</v>
      </c>
      <c r="H293" s="17" t="s">
        <v>29</v>
      </c>
      <c r="I293" s="17" t="s">
        <v>149</v>
      </c>
      <c r="J293" s="8">
        <v>2.6</v>
      </c>
      <c r="K293" s="8">
        <v>2.5</v>
      </c>
      <c r="L293" s="8">
        <f t="shared" si="61"/>
        <v>-3.8461538461538494</v>
      </c>
      <c r="M293" s="9">
        <v>24</v>
      </c>
      <c r="N293" s="9">
        <v>30</v>
      </c>
      <c r="O293" s="10">
        <f t="shared" si="53"/>
        <v>25</v>
      </c>
      <c r="P293" s="11" t="s">
        <v>31</v>
      </c>
      <c r="Q293" s="11" t="s">
        <v>31</v>
      </c>
      <c r="R293" s="33" t="s">
        <v>31</v>
      </c>
      <c r="S293" s="37">
        <f t="shared" si="55"/>
        <v>1.414973347970818</v>
      </c>
      <c r="T293" s="37" t="e">
        <f t="shared" si="56"/>
        <v>#NUM!</v>
      </c>
      <c r="U293" s="42">
        <f t="shared" si="57"/>
        <v>2.3802112417116059</v>
      </c>
      <c r="V293" s="41">
        <f t="shared" si="58"/>
        <v>2.3979400086720375</v>
      </c>
      <c r="W293" s="43" t="e">
        <f t="shared" si="59"/>
        <v>#VALUE!</v>
      </c>
      <c r="X293" s="43" t="e">
        <f t="shared" si="60"/>
        <v>#VALUE!</v>
      </c>
    </row>
    <row r="294" spans="1:24" ht="14.25" customHeight="1">
      <c r="A294" s="49"/>
      <c r="B294" s="8">
        <v>5</v>
      </c>
      <c r="C294" s="8">
        <f t="shared" si="51"/>
        <v>2.5</v>
      </c>
      <c r="D294" s="16" t="s">
        <v>42</v>
      </c>
      <c r="E294" s="16" t="s">
        <v>148</v>
      </c>
      <c r="F294" s="17" t="s">
        <v>112</v>
      </c>
      <c r="G294" s="17" t="s">
        <v>37</v>
      </c>
      <c r="H294" s="17" t="s">
        <v>29</v>
      </c>
      <c r="I294" s="17" t="s">
        <v>144</v>
      </c>
      <c r="J294" s="8">
        <v>2.71</v>
      </c>
      <c r="K294" s="8">
        <v>2.79</v>
      </c>
      <c r="L294" s="8">
        <f t="shared" si="61"/>
        <v>2.9520295202952056</v>
      </c>
      <c r="M294" s="9">
        <v>72.06</v>
      </c>
      <c r="N294" s="9">
        <v>50.14</v>
      </c>
      <c r="O294" s="10">
        <f t="shared" si="53"/>
        <v>-30.419095198445739</v>
      </c>
      <c r="P294" s="11">
        <v>4.21</v>
      </c>
      <c r="Q294" s="11">
        <v>2.5099999999999998</v>
      </c>
      <c r="R294" s="33">
        <f t="shared" si="62"/>
        <v>-40.380047505938251</v>
      </c>
      <c r="S294" s="37">
        <f t="shared" si="55"/>
        <v>1.4329692908744058</v>
      </c>
      <c r="T294" s="37">
        <f t="shared" si="56"/>
        <v>1.4701206961175382</v>
      </c>
      <c r="U294" s="42">
        <f t="shared" si="57"/>
        <v>2.8576942577865498</v>
      </c>
      <c r="V294" s="41" t="e">
        <f t="shared" si="58"/>
        <v>#NUM!</v>
      </c>
      <c r="W294" s="43">
        <f t="shared" si="59"/>
        <v>1.6242820958356683</v>
      </c>
      <c r="X294" s="43" t="e">
        <f t="shared" si="60"/>
        <v>#NUM!</v>
      </c>
    </row>
    <row r="295" spans="1:24" ht="14.25" customHeight="1">
      <c r="A295" s="49"/>
      <c r="B295" s="8">
        <v>3</v>
      </c>
      <c r="C295" s="8">
        <f t="shared" si="51"/>
        <v>1.5</v>
      </c>
      <c r="D295" s="16" t="s">
        <v>42</v>
      </c>
      <c r="E295" s="16" t="s">
        <v>148</v>
      </c>
      <c r="F295" s="17" t="s">
        <v>59</v>
      </c>
      <c r="G295" s="17" t="s">
        <v>28</v>
      </c>
      <c r="H295" s="17" t="s">
        <v>29</v>
      </c>
      <c r="I295" s="17" t="s">
        <v>150</v>
      </c>
      <c r="J295" s="8">
        <v>1.77</v>
      </c>
      <c r="K295" s="8">
        <v>2.3199999999999998</v>
      </c>
      <c r="L295" s="8">
        <f t="shared" si="61"/>
        <v>31.073446327683605</v>
      </c>
      <c r="M295" s="9">
        <v>46</v>
      </c>
      <c r="N295" s="9">
        <v>52.5</v>
      </c>
      <c r="O295" s="10">
        <f t="shared" si="53"/>
        <v>14.130434782608695</v>
      </c>
      <c r="P295" s="11" t="s">
        <v>31</v>
      </c>
      <c r="Q295" s="11" t="s">
        <v>31</v>
      </c>
      <c r="R295" s="33" t="s">
        <v>31</v>
      </c>
      <c r="S295" s="37">
        <f t="shared" si="55"/>
        <v>1.2479732663618066</v>
      </c>
      <c r="T295" s="37">
        <f t="shared" si="56"/>
        <v>2.4923894231324368</v>
      </c>
      <c r="U295" s="42">
        <f t="shared" si="57"/>
        <v>2.6627578316815739</v>
      </c>
      <c r="V295" s="41">
        <f t="shared" si="58"/>
        <v>2.1501555249612814</v>
      </c>
      <c r="W295" s="43" t="e">
        <f t="shared" si="59"/>
        <v>#VALUE!</v>
      </c>
      <c r="X295" s="43" t="e">
        <f t="shared" si="60"/>
        <v>#VALUE!</v>
      </c>
    </row>
    <row r="296" spans="1:24" ht="14.25" customHeight="1">
      <c r="A296" s="50"/>
      <c r="B296" s="8">
        <v>4</v>
      </c>
      <c r="C296" s="8">
        <f t="shared" si="51"/>
        <v>2</v>
      </c>
      <c r="D296" s="16" t="s">
        <v>42</v>
      </c>
      <c r="E296" s="16" t="s">
        <v>148</v>
      </c>
      <c r="F296" s="17" t="s">
        <v>59</v>
      </c>
      <c r="G296" s="17" t="s">
        <v>28</v>
      </c>
      <c r="H296" s="17" t="s">
        <v>29</v>
      </c>
      <c r="I296" s="17" t="s">
        <v>151</v>
      </c>
      <c r="J296" s="8">
        <v>2.96</v>
      </c>
      <c r="K296" s="8">
        <v>3.2</v>
      </c>
      <c r="L296" s="8">
        <f t="shared" si="61"/>
        <v>8.1081081081081159</v>
      </c>
      <c r="M296" s="9">
        <v>87</v>
      </c>
      <c r="N296" s="9">
        <v>132</v>
      </c>
      <c r="O296" s="10">
        <f t="shared" si="53"/>
        <v>51.724137931034484</v>
      </c>
      <c r="P296" s="11" t="s">
        <v>31</v>
      </c>
      <c r="Q296" s="11" t="s">
        <v>31</v>
      </c>
      <c r="R296" s="33" t="s">
        <v>31</v>
      </c>
      <c r="S296" s="37">
        <f t="shared" si="55"/>
        <v>1.4712917110589385</v>
      </c>
      <c r="T296" s="37">
        <f t="shared" si="56"/>
        <v>1.9089195306526678</v>
      </c>
      <c r="U296" s="42">
        <f t="shared" si="57"/>
        <v>2.9395192526186187</v>
      </c>
      <c r="V296" s="41">
        <f t="shared" si="58"/>
        <v>2.7136932611567253</v>
      </c>
      <c r="W296" s="43" t="e">
        <f t="shared" si="59"/>
        <v>#VALUE!</v>
      </c>
      <c r="X296" s="43" t="e">
        <f t="shared" si="60"/>
        <v>#VALUE!</v>
      </c>
    </row>
    <row r="297" spans="1:24" ht="14.25" customHeight="1">
      <c r="A297" s="45" t="s">
        <v>152</v>
      </c>
      <c r="B297" s="8">
        <v>10</v>
      </c>
      <c r="C297" s="8">
        <f t="shared" si="51"/>
        <v>5</v>
      </c>
      <c r="D297" s="16" t="s">
        <v>42</v>
      </c>
      <c r="E297" s="16" t="s">
        <v>43</v>
      </c>
      <c r="F297" s="17" t="s">
        <v>59</v>
      </c>
      <c r="G297" s="17" t="s">
        <v>38</v>
      </c>
      <c r="H297" s="17" t="s">
        <v>29</v>
      </c>
      <c r="I297" s="17" t="s">
        <v>136</v>
      </c>
      <c r="J297" s="8">
        <v>5.59</v>
      </c>
      <c r="K297" s="8">
        <v>6.5</v>
      </c>
      <c r="L297" s="8">
        <f t="shared" si="61"/>
        <v>16.279069767441865</v>
      </c>
      <c r="M297" s="9">
        <v>41.75</v>
      </c>
      <c r="N297" s="9">
        <v>59</v>
      </c>
      <c r="O297" s="10">
        <f t="shared" si="53"/>
        <v>41.317365269461078</v>
      </c>
      <c r="P297" s="11">
        <v>0.48699999999999999</v>
      </c>
      <c r="Q297" s="11">
        <v>0.55600000000000005</v>
      </c>
      <c r="R297" s="33">
        <f t="shared" si="62"/>
        <v>14.168377823408637</v>
      </c>
      <c r="S297" s="37">
        <f t="shared" si="55"/>
        <v>1.7474118078864234</v>
      </c>
      <c r="T297" s="37">
        <f t="shared" si="56"/>
        <v>2.2116295844346703</v>
      </c>
      <c r="U297" s="42">
        <f t="shared" si="57"/>
        <v>2.6206564798196208</v>
      </c>
      <c r="V297" s="41">
        <f t="shared" si="58"/>
        <v>2.6161326195896719</v>
      </c>
      <c r="W297" s="43">
        <f t="shared" si="59"/>
        <v>0.68752896121463436</v>
      </c>
      <c r="X297" s="43">
        <f t="shared" si="60"/>
        <v>2.1513201295226212</v>
      </c>
    </row>
    <row r="298" spans="1:24" ht="14.25" customHeight="1">
      <c r="A298" s="49"/>
      <c r="B298" s="8">
        <v>20</v>
      </c>
      <c r="C298" s="8">
        <f t="shared" si="51"/>
        <v>10</v>
      </c>
      <c r="D298" s="16" t="s">
        <v>42</v>
      </c>
      <c r="E298" s="16" t="s">
        <v>43</v>
      </c>
      <c r="F298" s="17" t="s">
        <v>59</v>
      </c>
      <c r="G298" s="17" t="s">
        <v>38</v>
      </c>
      <c r="H298" s="17" t="s">
        <v>29</v>
      </c>
      <c r="I298" s="17" t="s">
        <v>136</v>
      </c>
      <c r="J298" s="8">
        <v>5.59</v>
      </c>
      <c r="K298" s="8">
        <v>6.04</v>
      </c>
      <c r="L298" s="8">
        <f t="shared" si="61"/>
        <v>8.0500894454382852</v>
      </c>
      <c r="M298" s="9">
        <v>41.75</v>
      </c>
      <c r="N298" s="9">
        <v>47</v>
      </c>
      <c r="O298" s="10">
        <f t="shared" si="53"/>
        <v>12.574850299401197</v>
      </c>
      <c r="P298" s="11">
        <v>0.48699999999999999</v>
      </c>
      <c r="Q298" s="11">
        <v>0.45100000000000001</v>
      </c>
      <c r="R298" s="33">
        <f t="shared" si="62"/>
        <v>-7.3921971252566694</v>
      </c>
      <c r="S298" s="37">
        <f t="shared" si="55"/>
        <v>1.7474118078864234</v>
      </c>
      <c r="T298" s="37">
        <f t="shared" si="56"/>
        <v>1.9058007058889206</v>
      </c>
      <c r="U298" s="42">
        <f t="shared" si="57"/>
        <v>2.6206564798196208</v>
      </c>
      <c r="V298" s="41">
        <f t="shared" si="58"/>
        <v>2.0995028235863358</v>
      </c>
      <c r="W298" s="43">
        <f t="shared" si="59"/>
        <v>0.68752896121463436</v>
      </c>
      <c r="X298" s="43" t="e">
        <f t="shared" si="60"/>
        <v>#NUM!</v>
      </c>
    </row>
    <row r="299" spans="1:24" ht="14.25" customHeight="1">
      <c r="A299" s="49"/>
      <c r="B299" s="8">
        <v>30</v>
      </c>
      <c r="C299" s="8">
        <f t="shared" si="51"/>
        <v>15</v>
      </c>
      <c r="D299" s="16" t="s">
        <v>42</v>
      </c>
      <c r="E299" s="16" t="s">
        <v>43</v>
      </c>
      <c r="F299" s="17" t="s">
        <v>59</v>
      </c>
      <c r="G299" s="17" t="s">
        <v>38</v>
      </c>
      <c r="H299" s="17" t="s">
        <v>29</v>
      </c>
      <c r="I299" s="17" t="s">
        <v>136</v>
      </c>
      <c r="J299" s="8">
        <v>5.59</v>
      </c>
      <c r="K299" s="8">
        <v>5.93</v>
      </c>
      <c r="L299" s="8">
        <f t="shared" si="61"/>
        <v>6.082289803220033</v>
      </c>
      <c r="M299" s="9">
        <v>41.75</v>
      </c>
      <c r="N299" s="9">
        <v>56</v>
      </c>
      <c r="O299" s="10">
        <f t="shared" si="53"/>
        <v>34.131736526946113</v>
      </c>
      <c r="P299" s="11">
        <v>0.48699999999999999</v>
      </c>
      <c r="Q299" s="11">
        <v>0.52200000000000002</v>
      </c>
      <c r="R299" s="33">
        <f t="shared" si="62"/>
        <v>7.1868583162217723</v>
      </c>
      <c r="S299" s="37">
        <f t="shared" si="55"/>
        <v>1.7474118078864234</v>
      </c>
      <c r="T299" s="37">
        <f t="shared" si="56"/>
        <v>1.7840671091558316</v>
      </c>
      <c r="U299" s="42">
        <f t="shared" si="57"/>
        <v>2.6206564798196208</v>
      </c>
      <c r="V299" s="41">
        <f t="shared" si="58"/>
        <v>2.5331583845249082</v>
      </c>
      <c r="W299" s="43">
        <f t="shared" si="59"/>
        <v>0.68752896121463436</v>
      </c>
      <c r="X299" s="43">
        <f t="shared" si="60"/>
        <v>1.8565390831356416</v>
      </c>
    </row>
    <row r="300" spans="1:24" ht="14.25" customHeight="1">
      <c r="A300" s="50"/>
      <c r="B300" s="8">
        <v>40</v>
      </c>
      <c r="C300" s="8">
        <f t="shared" si="51"/>
        <v>20</v>
      </c>
      <c r="D300" s="16" t="s">
        <v>42</v>
      </c>
      <c r="E300" s="16" t="s">
        <v>43</v>
      </c>
      <c r="F300" s="17" t="s">
        <v>59</v>
      </c>
      <c r="G300" s="17" t="s">
        <v>38</v>
      </c>
      <c r="H300" s="17" t="s">
        <v>29</v>
      </c>
      <c r="I300" s="17" t="s">
        <v>136</v>
      </c>
      <c r="J300" s="8">
        <v>5.59</v>
      </c>
      <c r="K300" s="8">
        <v>5.73</v>
      </c>
      <c r="L300" s="8">
        <f t="shared" si="61"/>
        <v>2.5044722719141426</v>
      </c>
      <c r="M300" s="9">
        <v>41.75</v>
      </c>
      <c r="N300" s="9">
        <v>50</v>
      </c>
      <c r="O300" s="10">
        <f t="shared" si="53"/>
        <v>19.760479041916167</v>
      </c>
      <c r="P300" s="11">
        <v>0.48699999999999999</v>
      </c>
      <c r="Q300" s="11">
        <v>0.52700000000000002</v>
      </c>
      <c r="R300" s="33">
        <f t="shared" si="62"/>
        <v>8.213552361396312</v>
      </c>
      <c r="S300" s="37">
        <f t="shared" si="55"/>
        <v>1.7474118078864234</v>
      </c>
      <c r="T300" s="37">
        <f t="shared" si="56"/>
        <v>1.3987162277918166</v>
      </c>
      <c r="U300" s="42">
        <f t="shared" si="57"/>
        <v>2.6206564798196208</v>
      </c>
      <c r="V300" s="41">
        <f t="shared" si="58"/>
        <v>2.2957974687303042</v>
      </c>
      <c r="W300" s="43">
        <f t="shared" si="59"/>
        <v>0.68752896121463436</v>
      </c>
      <c r="X300" s="43">
        <f t="shared" si="60"/>
        <v>1.9145310301133285</v>
      </c>
    </row>
    <row r="301" spans="1:24" ht="14.25" customHeight="1">
      <c r="A301" s="45" t="s">
        <v>153</v>
      </c>
      <c r="B301" s="8">
        <v>2.5</v>
      </c>
      <c r="C301" s="8">
        <f t="shared" si="51"/>
        <v>1.25</v>
      </c>
      <c r="D301" s="16" t="s">
        <v>25</v>
      </c>
      <c r="E301" s="16" t="s">
        <v>154</v>
      </c>
      <c r="F301" s="17" t="s">
        <v>112</v>
      </c>
      <c r="G301" s="17" t="s">
        <v>37</v>
      </c>
      <c r="H301" s="17" t="s">
        <v>29</v>
      </c>
      <c r="I301" s="17" t="s">
        <v>136</v>
      </c>
      <c r="J301" s="8">
        <v>0.74</v>
      </c>
      <c r="K301" s="8">
        <v>0.78</v>
      </c>
      <c r="L301" s="8">
        <f t="shared" si="61"/>
        <v>5.4054054054054106</v>
      </c>
      <c r="M301" s="9">
        <v>20.5</v>
      </c>
      <c r="N301" s="9">
        <v>21.6</v>
      </c>
      <c r="O301" s="10">
        <f t="shared" si="53"/>
        <v>5.3658536585365919</v>
      </c>
      <c r="P301" s="11">
        <v>0.35</v>
      </c>
      <c r="Q301" s="11">
        <v>0.32</v>
      </c>
      <c r="R301" s="33">
        <f t="shared" si="62"/>
        <v>-8.5714285714285623</v>
      </c>
      <c r="S301" s="37">
        <f t="shared" si="55"/>
        <v>0.86923171973097624</v>
      </c>
      <c r="T301" s="37">
        <f t="shared" si="56"/>
        <v>1.7328282715969867</v>
      </c>
      <c r="U301" s="42">
        <f t="shared" si="57"/>
        <v>2.3117538610557542</v>
      </c>
      <c r="V301" s="41">
        <f t="shared" si="58"/>
        <v>1.7296388241024714</v>
      </c>
      <c r="W301" s="43">
        <f t="shared" si="59"/>
        <v>0.54406804435027567</v>
      </c>
      <c r="X301" s="43" t="e">
        <f t="shared" si="60"/>
        <v>#NUM!</v>
      </c>
    </row>
    <row r="302" spans="1:24" ht="14.25" customHeight="1">
      <c r="A302" s="49"/>
      <c r="B302" s="8">
        <v>5</v>
      </c>
      <c r="C302" s="8">
        <f t="shared" si="51"/>
        <v>2.5</v>
      </c>
      <c r="D302" s="16" t="s">
        <v>25</v>
      </c>
      <c r="E302" s="16" t="s">
        <v>154</v>
      </c>
      <c r="F302" s="17" t="s">
        <v>112</v>
      </c>
      <c r="G302" s="17" t="s">
        <v>37</v>
      </c>
      <c r="H302" s="17" t="s">
        <v>29</v>
      </c>
      <c r="I302" s="17" t="s">
        <v>136</v>
      </c>
      <c r="J302" s="8">
        <v>0.74</v>
      </c>
      <c r="K302" s="8">
        <v>0.84</v>
      </c>
      <c r="L302" s="8">
        <f t="shared" si="61"/>
        <v>13.513513513513512</v>
      </c>
      <c r="M302" s="9">
        <v>20.5</v>
      </c>
      <c r="N302" s="9">
        <v>22.7</v>
      </c>
      <c r="O302" s="10">
        <f t="shared" si="53"/>
        <v>10.731707317073168</v>
      </c>
      <c r="P302" s="11">
        <v>0.35</v>
      </c>
      <c r="Q302" s="11">
        <v>0.3</v>
      </c>
      <c r="R302" s="33">
        <f t="shared" si="62"/>
        <v>-14.285714285714283</v>
      </c>
      <c r="S302" s="37">
        <f t="shared" si="55"/>
        <v>0.86923171973097624</v>
      </c>
      <c r="T302" s="37">
        <f t="shared" si="56"/>
        <v>2.1307682802690238</v>
      </c>
      <c r="U302" s="42">
        <f t="shared" si="57"/>
        <v>2.3117538610557542</v>
      </c>
      <c r="V302" s="41">
        <f t="shared" si="58"/>
        <v>2.030668819766452</v>
      </c>
      <c r="W302" s="43">
        <f t="shared" si="59"/>
        <v>0.54406804435027567</v>
      </c>
      <c r="X302" s="43" t="e">
        <f t="shared" si="60"/>
        <v>#NUM!</v>
      </c>
    </row>
    <row r="303" spans="1:24" ht="14.25" customHeight="1">
      <c r="A303" s="49"/>
      <c r="B303" s="8">
        <v>7.5</v>
      </c>
      <c r="C303" s="8">
        <f t="shared" si="51"/>
        <v>3.75</v>
      </c>
      <c r="D303" s="16" t="s">
        <v>25</v>
      </c>
      <c r="E303" s="16" t="s">
        <v>154</v>
      </c>
      <c r="F303" s="17" t="s">
        <v>112</v>
      </c>
      <c r="G303" s="17" t="s">
        <v>37</v>
      </c>
      <c r="H303" s="17" t="s">
        <v>29</v>
      </c>
      <c r="I303" s="17" t="s">
        <v>136</v>
      </c>
      <c r="J303" s="8">
        <v>0.74</v>
      </c>
      <c r="K303" s="8">
        <v>0.86</v>
      </c>
      <c r="L303" s="8">
        <f t="shared" si="61"/>
        <v>16.216216216216218</v>
      </c>
      <c r="M303" s="9">
        <v>20.5</v>
      </c>
      <c r="N303" s="9">
        <v>23.1</v>
      </c>
      <c r="O303" s="10">
        <f t="shared" si="53"/>
        <v>12.682926829268299</v>
      </c>
      <c r="P303" s="11">
        <v>0.35</v>
      </c>
      <c r="Q303" s="11">
        <v>0.28000000000000003</v>
      </c>
      <c r="R303" s="33">
        <f t="shared" si="62"/>
        <v>-19.999999999999986</v>
      </c>
      <c r="S303" s="37">
        <f t="shared" si="55"/>
        <v>0.86923171973097624</v>
      </c>
      <c r="T303" s="37">
        <f t="shared" si="56"/>
        <v>2.2099495263166489</v>
      </c>
      <c r="U303" s="42">
        <f t="shared" si="57"/>
        <v>2.3117538610557542</v>
      </c>
      <c r="V303" s="41">
        <f t="shared" si="58"/>
        <v>2.103219486915064</v>
      </c>
      <c r="W303" s="43">
        <f t="shared" si="59"/>
        <v>0.54406804435027567</v>
      </c>
      <c r="X303" s="43" t="e">
        <f t="shared" si="60"/>
        <v>#NUM!</v>
      </c>
    </row>
    <row r="304" spans="1:24" ht="14.25" customHeight="1">
      <c r="A304" s="45" t="s">
        <v>155</v>
      </c>
      <c r="B304" s="8">
        <v>1</v>
      </c>
      <c r="C304" s="8">
        <f t="shared" si="51"/>
        <v>0.5</v>
      </c>
      <c r="D304" s="16" t="s">
        <v>25</v>
      </c>
      <c r="E304" s="16" t="s">
        <v>33</v>
      </c>
      <c r="F304" s="17" t="s">
        <v>59</v>
      </c>
      <c r="G304" s="17" t="s">
        <v>28</v>
      </c>
      <c r="H304" s="17" t="s">
        <v>29</v>
      </c>
      <c r="I304" s="17" t="s">
        <v>136</v>
      </c>
      <c r="J304" s="8">
        <v>1.1000000000000001</v>
      </c>
      <c r="K304" s="8">
        <v>1.2</v>
      </c>
      <c r="L304" s="8">
        <f t="shared" si="61"/>
        <v>9.0909090909090793</v>
      </c>
      <c r="M304" s="9">
        <v>28</v>
      </c>
      <c r="N304" s="9">
        <v>30</v>
      </c>
      <c r="O304" s="10">
        <f t="shared" si="53"/>
        <v>7.1428571428571423</v>
      </c>
      <c r="P304" s="11">
        <v>0.12</v>
      </c>
      <c r="Q304" s="11">
        <v>0.13</v>
      </c>
      <c r="R304" s="33">
        <f t="shared" si="62"/>
        <v>8.333333333333341</v>
      </c>
      <c r="S304" s="37">
        <f t="shared" si="55"/>
        <v>1.0413926851582251</v>
      </c>
      <c r="T304" s="37">
        <f t="shared" si="56"/>
        <v>1.9586073148417744</v>
      </c>
      <c r="U304" s="42">
        <f t="shared" si="57"/>
        <v>2.4471580313422194</v>
      </c>
      <c r="V304" s="41">
        <f t="shared" si="58"/>
        <v>1.8538719643217618</v>
      </c>
      <c r="W304" s="43">
        <f t="shared" si="59"/>
        <v>7.9181246047624818E-2</v>
      </c>
      <c r="X304" s="43">
        <f t="shared" si="60"/>
        <v>1.9208187539523756</v>
      </c>
    </row>
    <row r="305" spans="1:24" ht="14.25" customHeight="1">
      <c r="A305" s="49"/>
      <c r="B305" s="8">
        <v>3</v>
      </c>
      <c r="C305" s="8">
        <f t="shared" si="51"/>
        <v>1.5</v>
      </c>
      <c r="D305" s="16" t="s">
        <v>25</v>
      </c>
      <c r="E305" s="16" t="s">
        <v>33</v>
      </c>
      <c r="F305" s="17" t="s">
        <v>59</v>
      </c>
      <c r="G305" s="17" t="s">
        <v>28</v>
      </c>
      <c r="H305" s="17" t="s">
        <v>29</v>
      </c>
      <c r="I305" s="17" t="s">
        <v>136</v>
      </c>
      <c r="J305" s="8">
        <v>1.1000000000000001</v>
      </c>
      <c r="K305" s="8">
        <v>1.3</v>
      </c>
      <c r="L305" s="8">
        <f t="shared" si="61"/>
        <v>18.181818181818176</v>
      </c>
      <c r="M305" s="9">
        <v>28</v>
      </c>
      <c r="N305" s="9">
        <v>33</v>
      </c>
      <c r="O305" s="10">
        <f t="shared" si="53"/>
        <v>17.857142857142858</v>
      </c>
      <c r="P305" s="11">
        <v>0.12</v>
      </c>
      <c r="Q305" s="11">
        <v>0.14000000000000001</v>
      </c>
      <c r="R305" s="33">
        <f t="shared" si="62"/>
        <v>16.666666666666682</v>
      </c>
      <c r="S305" s="37">
        <f t="shared" si="55"/>
        <v>1.0413926851582251</v>
      </c>
      <c r="T305" s="37">
        <f t="shared" si="56"/>
        <v>2.2596373105057559</v>
      </c>
      <c r="U305" s="42">
        <f t="shared" si="57"/>
        <v>2.4471580313422194</v>
      </c>
      <c r="V305" s="41">
        <f t="shared" si="58"/>
        <v>2.2518119729937998</v>
      </c>
      <c r="W305" s="43">
        <f t="shared" si="59"/>
        <v>7.9181246047624818E-2</v>
      </c>
      <c r="X305" s="43">
        <f t="shared" si="60"/>
        <v>2.2218487496163566</v>
      </c>
    </row>
    <row r="306" spans="1:24" ht="14.25" customHeight="1">
      <c r="A306" s="49"/>
      <c r="B306" s="8">
        <v>5</v>
      </c>
      <c r="C306" s="8">
        <f t="shared" si="51"/>
        <v>2.5</v>
      </c>
      <c r="D306" s="16" t="s">
        <v>25</v>
      </c>
      <c r="E306" s="16" t="s">
        <v>33</v>
      </c>
      <c r="F306" s="17" t="s">
        <v>59</v>
      </c>
      <c r="G306" s="17" t="s">
        <v>28</v>
      </c>
      <c r="H306" s="17" t="s">
        <v>29</v>
      </c>
      <c r="I306" s="17" t="s">
        <v>136</v>
      </c>
      <c r="J306" s="8">
        <v>1.1000000000000001</v>
      </c>
      <c r="K306" s="8">
        <v>1.35</v>
      </c>
      <c r="L306" s="8">
        <f t="shared" si="61"/>
        <v>22.727272727272727</v>
      </c>
      <c r="M306" s="9">
        <v>28</v>
      </c>
      <c r="N306" s="9">
        <v>34</v>
      </c>
      <c r="O306" s="10">
        <f t="shared" si="53"/>
        <v>21.428571428571427</v>
      </c>
      <c r="P306" s="11">
        <v>0.12</v>
      </c>
      <c r="Q306" s="11">
        <v>0.15</v>
      </c>
      <c r="R306" s="33">
        <f t="shared" si="62"/>
        <v>25</v>
      </c>
      <c r="S306" s="37">
        <f t="shared" si="55"/>
        <v>1.0413926851582251</v>
      </c>
      <c r="T306" s="37">
        <f t="shared" si="56"/>
        <v>2.3565473235138126</v>
      </c>
      <c r="U306" s="42">
        <f t="shared" si="57"/>
        <v>2.4471580313422194</v>
      </c>
      <c r="V306" s="41">
        <f t="shared" si="58"/>
        <v>2.3309932190414244</v>
      </c>
      <c r="W306" s="43">
        <f t="shared" si="59"/>
        <v>7.9181246047624818E-2</v>
      </c>
      <c r="X306" s="43">
        <f t="shared" si="60"/>
        <v>2.3979400086720375</v>
      </c>
    </row>
    <row r="307" spans="1:24" ht="14.25" customHeight="1">
      <c r="A307" s="50"/>
      <c r="B307" s="8">
        <v>7</v>
      </c>
      <c r="C307" s="8">
        <f t="shared" si="51"/>
        <v>3.5</v>
      </c>
      <c r="D307" s="16" t="s">
        <v>25</v>
      </c>
      <c r="E307" s="16" t="s">
        <v>33</v>
      </c>
      <c r="F307" s="17" t="s">
        <v>59</v>
      </c>
      <c r="G307" s="17" t="s">
        <v>28</v>
      </c>
      <c r="H307" s="17" t="s">
        <v>29</v>
      </c>
      <c r="I307" s="17" t="s">
        <v>136</v>
      </c>
      <c r="J307" s="8">
        <v>1.1000000000000001</v>
      </c>
      <c r="K307" s="8">
        <v>1.32</v>
      </c>
      <c r="L307" s="8">
        <f t="shared" si="61"/>
        <v>19.999999999999996</v>
      </c>
      <c r="M307" s="9">
        <v>28</v>
      </c>
      <c r="N307" s="9">
        <v>32</v>
      </c>
      <c r="O307" s="10">
        <f t="shared" si="53"/>
        <v>14.285714285714285</v>
      </c>
      <c r="P307" s="11">
        <v>0.12</v>
      </c>
      <c r="Q307" s="11">
        <v>0.14000000000000001</v>
      </c>
      <c r="R307" s="33">
        <f t="shared" si="62"/>
        <v>16.666666666666682</v>
      </c>
      <c r="S307" s="37">
        <f t="shared" si="55"/>
        <v>1.0413926851582251</v>
      </c>
      <c r="T307" s="37">
        <f t="shared" si="56"/>
        <v>2.3010299956639813</v>
      </c>
      <c r="U307" s="42">
        <f t="shared" si="57"/>
        <v>2.4471580313422194</v>
      </c>
      <c r="V307" s="41">
        <f t="shared" si="58"/>
        <v>2.1549019599857431</v>
      </c>
      <c r="W307" s="43">
        <f t="shared" si="59"/>
        <v>7.9181246047624818E-2</v>
      </c>
      <c r="X307" s="43">
        <f t="shared" si="60"/>
        <v>2.2218487496163566</v>
      </c>
    </row>
    <row r="308" spans="1:24" ht="14.25" customHeight="1">
      <c r="A308" s="45" t="s">
        <v>156</v>
      </c>
      <c r="B308" s="8">
        <v>1</v>
      </c>
      <c r="C308" s="8">
        <f t="shared" si="51"/>
        <v>0.5</v>
      </c>
      <c r="D308" s="16" t="s">
        <v>25</v>
      </c>
      <c r="E308" s="16" t="s">
        <v>48</v>
      </c>
      <c r="F308" s="17" t="s">
        <v>59</v>
      </c>
      <c r="G308" s="17" t="s">
        <v>37</v>
      </c>
      <c r="H308" s="17" t="s">
        <v>29</v>
      </c>
      <c r="I308" s="17" t="s">
        <v>136</v>
      </c>
      <c r="J308" s="8">
        <v>2.1</v>
      </c>
      <c r="K308" s="8">
        <v>2.2999999999999998</v>
      </c>
      <c r="L308" s="8">
        <f t="shared" si="61"/>
        <v>9.5238095238095113</v>
      </c>
      <c r="M308" s="9">
        <v>60</v>
      </c>
      <c r="N308" s="9">
        <v>62</v>
      </c>
      <c r="O308" s="10">
        <f t="shared" si="53"/>
        <v>3.3333333333333335</v>
      </c>
      <c r="P308" s="11">
        <v>0.05</v>
      </c>
      <c r="Q308" s="11">
        <v>0.06</v>
      </c>
      <c r="R308" s="33">
        <f t="shared" si="62"/>
        <v>19.999999999999989</v>
      </c>
      <c r="S308" s="37">
        <f t="shared" si="55"/>
        <v>1.3222192947339193</v>
      </c>
      <c r="T308" s="37">
        <f t="shared" si="56"/>
        <v>1.9788107009300613</v>
      </c>
      <c r="U308" s="42">
        <f t="shared" si="57"/>
        <v>2.7781512503836434</v>
      </c>
      <c r="V308" s="41">
        <f t="shared" si="58"/>
        <v>1.5228787452803376</v>
      </c>
      <c r="W308" s="43">
        <f t="shared" si="59"/>
        <v>-0.3010299956639812</v>
      </c>
      <c r="X308" s="43">
        <f t="shared" si="60"/>
        <v>2.3010299956639808</v>
      </c>
    </row>
    <row r="309" spans="1:24" ht="14.25" customHeight="1">
      <c r="A309" s="49"/>
      <c r="B309" s="8">
        <v>3</v>
      </c>
      <c r="C309" s="8">
        <f t="shared" si="51"/>
        <v>1.5</v>
      </c>
      <c r="D309" s="16" t="s">
        <v>25</v>
      </c>
      <c r="E309" s="16" t="s">
        <v>48</v>
      </c>
      <c r="F309" s="17" t="s">
        <v>59</v>
      </c>
      <c r="G309" s="17" t="s">
        <v>37</v>
      </c>
      <c r="H309" s="17" t="s">
        <v>29</v>
      </c>
      <c r="I309" s="17" t="s">
        <v>136</v>
      </c>
      <c r="J309" s="8">
        <v>2.1</v>
      </c>
      <c r="K309" s="8">
        <v>2.5</v>
      </c>
      <c r="L309" s="8">
        <f t="shared" si="61"/>
        <v>19.047619047619044</v>
      </c>
      <c r="M309" s="9">
        <v>60</v>
      </c>
      <c r="N309" s="9">
        <v>65</v>
      </c>
      <c r="O309" s="10">
        <f t="shared" si="53"/>
        <v>8.3333333333333321</v>
      </c>
      <c r="P309" s="11">
        <v>0.05</v>
      </c>
      <c r="Q309" s="11">
        <v>7.0000000000000007E-2</v>
      </c>
      <c r="R309" s="33">
        <f t="shared" si="62"/>
        <v>40.000000000000007</v>
      </c>
      <c r="S309" s="37">
        <f t="shared" si="55"/>
        <v>1.3222192947339193</v>
      </c>
      <c r="T309" s="37">
        <f t="shared" si="56"/>
        <v>2.279840696594043</v>
      </c>
      <c r="U309" s="42">
        <f t="shared" si="57"/>
        <v>2.7781512503836434</v>
      </c>
      <c r="V309" s="41">
        <f t="shared" si="58"/>
        <v>1.9208187539523751</v>
      </c>
      <c r="W309" s="43">
        <f t="shared" si="59"/>
        <v>-0.3010299956639812</v>
      </c>
      <c r="X309" s="43">
        <f t="shared" si="60"/>
        <v>2.6020599913279625</v>
      </c>
    </row>
    <row r="310" spans="1:24" ht="14.25" customHeight="1">
      <c r="A310" s="49"/>
      <c r="B310" s="8">
        <v>5</v>
      </c>
      <c r="C310" s="8">
        <f t="shared" si="51"/>
        <v>2.5</v>
      </c>
      <c r="D310" s="16" t="s">
        <v>25</v>
      </c>
      <c r="E310" s="16" t="s">
        <v>48</v>
      </c>
      <c r="F310" s="17" t="s">
        <v>59</v>
      </c>
      <c r="G310" s="17" t="s">
        <v>37</v>
      </c>
      <c r="H310" s="17" t="s">
        <v>29</v>
      </c>
      <c r="I310" s="17" t="s">
        <v>136</v>
      </c>
      <c r="J310" s="8">
        <v>2.1</v>
      </c>
      <c r="K310" s="8">
        <v>2.6</v>
      </c>
      <c r="L310" s="8">
        <f t="shared" si="61"/>
        <v>23.809523809523807</v>
      </c>
      <c r="M310" s="9">
        <v>60</v>
      </c>
      <c r="N310" s="9">
        <v>66</v>
      </c>
      <c r="O310" s="10">
        <f t="shared" si="53"/>
        <v>10</v>
      </c>
      <c r="P310" s="11">
        <v>0.05</v>
      </c>
      <c r="Q310" s="11">
        <v>7.4999999999999997E-2</v>
      </c>
      <c r="R310" s="33">
        <f t="shared" si="62"/>
        <v>49.999999999999986</v>
      </c>
      <c r="S310" s="37">
        <f t="shared" si="55"/>
        <v>1.3222192947339193</v>
      </c>
      <c r="T310" s="37">
        <f t="shared" si="56"/>
        <v>2.3767507096020997</v>
      </c>
      <c r="U310" s="42">
        <f t="shared" si="57"/>
        <v>2.7781512503836434</v>
      </c>
      <c r="V310" s="41">
        <f t="shared" si="58"/>
        <v>2</v>
      </c>
      <c r="W310" s="43">
        <f t="shared" si="59"/>
        <v>-0.3010299956639812</v>
      </c>
      <c r="X310" s="43">
        <f t="shared" si="60"/>
        <v>2.6989700043360187</v>
      </c>
    </row>
    <row r="311" spans="1:24" ht="14.25" customHeight="1">
      <c r="A311" s="50"/>
      <c r="B311" s="8">
        <v>7</v>
      </c>
      <c r="C311" s="8">
        <f t="shared" si="51"/>
        <v>3.5</v>
      </c>
      <c r="D311" s="16" t="s">
        <v>25</v>
      </c>
      <c r="E311" s="16" t="s">
        <v>48</v>
      </c>
      <c r="F311" s="17" t="s">
        <v>59</v>
      </c>
      <c r="G311" s="17" t="s">
        <v>37</v>
      </c>
      <c r="H311" s="17" t="s">
        <v>29</v>
      </c>
      <c r="I311" s="17" t="s">
        <v>136</v>
      </c>
      <c r="J311" s="8">
        <v>2.1</v>
      </c>
      <c r="K311" s="8">
        <v>2.5499999999999998</v>
      </c>
      <c r="L311" s="8">
        <f t="shared" si="61"/>
        <v>21.428571428571416</v>
      </c>
      <c r="M311" s="9">
        <v>60</v>
      </c>
      <c r="N311" s="9">
        <v>64</v>
      </c>
      <c r="O311" s="10">
        <f t="shared" si="53"/>
        <v>6.666666666666667</v>
      </c>
      <c r="P311" s="11">
        <v>0.05</v>
      </c>
      <c r="Q311" s="11">
        <v>7.1999999999999995E-2</v>
      </c>
      <c r="R311" s="33">
        <f t="shared" si="62"/>
        <v>43.999999999999986</v>
      </c>
      <c r="S311" s="37">
        <f t="shared" si="55"/>
        <v>1.3222192947339193</v>
      </c>
      <c r="T311" s="37">
        <f t="shared" si="56"/>
        <v>2.330993219041424</v>
      </c>
      <c r="U311" s="42">
        <f t="shared" si="57"/>
        <v>2.7781512503836434</v>
      </c>
      <c r="V311" s="41">
        <f t="shared" si="58"/>
        <v>1.8239087409443189</v>
      </c>
      <c r="W311" s="43">
        <f t="shared" si="59"/>
        <v>-0.3010299956639812</v>
      </c>
      <c r="X311" s="43">
        <f t="shared" si="60"/>
        <v>2.6434526764861874</v>
      </c>
    </row>
    <row r="312" spans="1:24" ht="14.25" customHeight="1">
      <c r="A312" s="45" t="s">
        <v>157</v>
      </c>
      <c r="B312" s="8">
        <v>1</v>
      </c>
      <c r="C312" s="8">
        <f t="shared" si="51"/>
        <v>0.5</v>
      </c>
      <c r="D312" s="16" t="s">
        <v>25</v>
      </c>
      <c r="E312" s="16" t="s">
        <v>68</v>
      </c>
      <c r="F312" s="17" t="s">
        <v>59</v>
      </c>
      <c r="G312" s="17" t="s">
        <v>28</v>
      </c>
      <c r="H312" s="17" t="s">
        <v>29</v>
      </c>
      <c r="I312" s="17" t="s">
        <v>136</v>
      </c>
      <c r="J312" s="8">
        <v>0.17</v>
      </c>
      <c r="K312" s="8">
        <v>0.19</v>
      </c>
      <c r="L312" s="8">
        <f t="shared" si="61"/>
        <v>11.764705882352935</v>
      </c>
      <c r="M312" s="9">
        <v>13.4</v>
      </c>
      <c r="N312" s="9">
        <v>14.2</v>
      </c>
      <c r="O312" s="10">
        <f t="shared" si="53"/>
        <v>5.9701492537313348</v>
      </c>
      <c r="P312" s="11">
        <v>0.65</v>
      </c>
      <c r="Q312" s="11">
        <v>0.66</v>
      </c>
      <c r="R312" s="33">
        <f t="shared" si="62"/>
        <v>1.5384615384615397</v>
      </c>
      <c r="S312" s="37">
        <f t="shared" si="55"/>
        <v>0.23044892137827397</v>
      </c>
      <c r="T312" s="37">
        <f t="shared" si="56"/>
        <v>2.0705810742857071</v>
      </c>
      <c r="U312" s="42">
        <f t="shared" si="57"/>
        <v>2.1271047983648077</v>
      </c>
      <c r="V312" s="41">
        <f t="shared" si="58"/>
        <v>1.7759851886271354</v>
      </c>
      <c r="W312" s="43">
        <f t="shared" si="59"/>
        <v>0.81291335664285558</v>
      </c>
      <c r="X312" s="43">
        <f t="shared" si="60"/>
        <v>1.1870866433571448</v>
      </c>
    </row>
    <row r="313" spans="1:24" ht="14.25" customHeight="1">
      <c r="A313" s="49"/>
      <c r="B313" s="8">
        <v>3</v>
      </c>
      <c r="C313" s="8">
        <f t="shared" si="51"/>
        <v>1.5</v>
      </c>
      <c r="D313" s="16" t="s">
        <v>25</v>
      </c>
      <c r="E313" s="16" t="s">
        <v>68</v>
      </c>
      <c r="F313" s="17" t="s">
        <v>59</v>
      </c>
      <c r="G313" s="17" t="s">
        <v>28</v>
      </c>
      <c r="H313" s="17" t="s">
        <v>29</v>
      </c>
      <c r="I313" s="17" t="s">
        <v>136</v>
      </c>
      <c r="J313" s="8">
        <v>0.17</v>
      </c>
      <c r="K313" s="8">
        <v>0.21</v>
      </c>
      <c r="L313" s="8">
        <f t="shared" si="61"/>
        <v>23.52941176470587</v>
      </c>
      <c r="M313" s="9">
        <v>13.4</v>
      </c>
      <c r="N313" s="9">
        <v>15.8</v>
      </c>
      <c r="O313" s="10">
        <f t="shared" si="53"/>
        <v>17.910447761194032</v>
      </c>
      <c r="P313" s="11">
        <v>0.65</v>
      </c>
      <c r="Q313" s="11">
        <v>0.68</v>
      </c>
      <c r="R313" s="33">
        <f t="shared" si="62"/>
        <v>4.6153846153846194</v>
      </c>
      <c r="S313" s="37">
        <f t="shared" si="55"/>
        <v>0.23044892137827397</v>
      </c>
      <c r="T313" s="37">
        <f t="shared" si="56"/>
        <v>2.3716110699496884</v>
      </c>
      <c r="U313" s="42">
        <f t="shared" si="57"/>
        <v>2.1271047983648077</v>
      </c>
      <c r="V313" s="41">
        <f t="shared" si="58"/>
        <v>2.2531064433467987</v>
      </c>
      <c r="W313" s="43">
        <f t="shared" si="59"/>
        <v>0.81291335664285558</v>
      </c>
      <c r="X313" s="43">
        <f t="shared" si="60"/>
        <v>1.6642078980768074</v>
      </c>
    </row>
    <row r="314" spans="1:24" ht="14.25" customHeight="1">
      <c r="A314" s="49"/>
      <c r="B314" s="8">
        <v>5</v>
      </c>
      <c r="C314" s="8">
        <f t="shared" si="51"/>
        <v>2.5</v>
      </c>
      <c r="D314" s="16" t="s">
        <v>25</v>
      </c>
      <c r="E314" s="16" t="s">
        <v>68</v>
      </c>
      <c r="F314" s="17" t="s">
        <v>59</v>
      </c>
      <c r="G314" s="17" t="s">
        <v>28</v>
      </c>
      <c r="H314" s="17" t="s">
        <v>29</v>
      </c>
      <c r="I314" s="17" t="s">
        <v>136</v>
      </c>
      <c r="J314" s="8">
        <v>0.17</v>
      </c>
      <c r="K314" s="8">
        <v>0.24</v>
      </c>
      <c r="L314" s="8">
        <f t="shared" si="61"/>
        <v>41.176470588235283</v>
      </c>
      <c r="M314" s="9">
        <v>13.4</v>
      </c>
      <c r="N314" s="9">
        <v>16.5</v>
      </c>
      <c r="O314" s="10">
        <f t="shared" si="53"/>
        <v>23.134328358208954</v>
      </c>
      <c r="P314" s="11">
        <v>0.65</v>
      </c>
      <c r="Q314" s="11">
        <v>0.69</v>
      </c>
      <c r="R314" s="33">
        <f t="shared" si="62"/>
        <v>6.1538461538461418</v>
      </c>
      <c r="S314" s="37">
        <f t="shared" si="55"/>
        <v>0.23044892137827397</v>
      </c>
      <c r="T314" s="37">
        <f t="shared" si="56"/>
        <v>2.6146491186359828</v>
      </c>
      <c r="U314" s="42">
        <f t="shared" si="57"/>
        <v>2.1271047983648077</v>
      </c>
      <c r="V314" s="41">
        <f t="shared" si="58"/>
        <v>2.3642568954694649</v>
      </c>
      <c r="W314" s="43">
        <f t="shared" si="59"/>
        <v>0.81291335664285558</v>
      </c>
      <c r="X314" s="43">
        <f t="shared" si="60"/>
        <v>1.7891466346851059</v>
      </c>
    </row>
    <row r="315" spans="1:24" ht="14.25" customHeight="1">
      <c r="A315" s="45" t="s">
        <v>158</v>
      </c>
      <c r="B315" s="8">
        <v>0.5</v>
      </c>
      <c r="C315" s="8">
        <f t="shared" si="51"/>
        <v>0.25</v>
      </c>
      <c r="D315" s="16" t="s">
        <v>25</v>
      </c>
      <c r="E315" s="16" t="s">
        <v>48</v>
      </c>
      <c r="F315" s="17" t="s">
        <v>59</v>
      </c>
      <c r="G315" s="17" t="s">
        <v>28</v>
      </c>
      <c r="H315" s="17" t="s">
        <v>29</v>
      </c>
      <c r="I315" s="17" t="s">
        <v>136</v>
      </c>
      <c r="J315" s="8">
        <v>2.4</v>
      </c>
      <c r="K315" s="8">
        <v>2.5</v>
      </c>
      <c r="L315" s="8">
        <f t="shared" si="61"/>
        <v>4.1666666666666705</v>
      </c>
      <c r="M315" s="9">
        <v>65</v>
      </c>
      <c r="N315" s="9">
        <v>66</v>
      </c>
      <c r="O315" s="10">
        <f t="shared" si="53"/>
        <v>1.5384615384615385</v>
      </c>
      <c r="P315" s="11" t="s">
        <v>31</v>
      </c>
      <c r="Q315" s="11" t="s">
        <v>31</v>
      </c>
      <c r="R315" s="33" t="s">
        <v>31</v>
      </c>
      <c r="S315" s="37">
        <f t="shared" si="55"/>
        <v>1.3802112417116059</v>
      </c>
      <c r="T315" s="37">
        <f t="shared" si="56"/>
        <v>1.6197887582883943</v>
      </c>
      <c r="U315" s="42">
        <f t="shared" si="57"/>
        <v>2.8129133566428557</v>
      </c>
      <c r="V315" s="41">
        <f t="shared" si="58"/>
        <v>1.1870866433571445</v>
      </c>
      <c r="W315" s="43" t="e">
        <f t="shared" si="59"/>
        <v>#VALUE!</v>
      </c>
      <c r="X315" s="43" t="e">
        <f t="shared" si="60"/>
        <v>#VALUE!</v>
      </c>
    </row>
    <row r="316" spans="1:24" ht="14.25" customHeight="1">
      <c r="A316" s="49"/>
      <c r="B316" s="8">
        <v>1</v>
      </c>
      <c r="C316" s="8">
        <f t="shared" si="51"/>
        <v>0.5</v>
      </c>
      <c r="D316" s="16" t="s">
        <v>25</v>
      </c>
      <c r="E316" s="16" t="s">
        <v>48</v>
      </c>
      <c r="F316" s="17" t="s">
        <v>59</v>
      </c>
      <c r="G316" s="17" t="s">
        <v>28</v>
      </c>
      <c r="H316" s="17" t="s">
        <v>29</v>
      </c>
      <c r="I316" s="17" t="s">
        <v>136</v>
      </c>
      <c r="J316" s="8">
        <v>2.4</v>
      </c>
      <c r="K316" s="8">
        <v>2.6</v>
      </c>
      <c r="L316" s="8">
        <f t="shared" si="61"/>
        <v>8.333333333333341</v>
      </c>
      <c r="M316" s="9">
        <v>65</v>
      </c>
      <c r="N316" s="9">
        <v>67</v>
      </c>
      <c r="O316" s="10">
        <f t="shared" si="53"/>
        <v>3.0769230769230771</v>
      </c>
      <c r="P316" s="11" t="s">
        <v>31</v>
      </c>
      <c r="Q316" s="11" t="s">
        <v>31</v>
      </c>
      <c r="R316" s="33" t="s">
        <v>31</v>
      </c>
      <c r="S316" s="37">
        <f t="shared" si="55"/>
        <v>1.3802112417116059</v>
      </c>
      <c r="T316" s="37">
        <f t="shared" si="56"/>
        <v>1.9208187539523756</v>
      </c>
      <c r="U316" s="42">
        <f t="shared" si="57"/>
        <v>2.8129133566428557</v>
      </c>
      <c r="V316" s="41">
        <f t="shared" si="58"/>
        <v>1.4881166390211256</v>
      </c>
      <c r="W316" s="43" t="e">
        <f t="shared" si="59"/>
        <v>#VALUE!</v>
      </c>
      <c r="X316" s="43" t="e">
        <f t="shared" si="60"/>
        <v>#VALUE!</v>
      </c>
    </row>
    <row r="317" spans="1:24" ht="14.25" customHeight="1">
      <c r="A317" s="49"/>
      <c r="B317" s="8">
        <v>2</v>
      </c>
      <c r="C317" s="8">
        <f t="shared" si="51"/>
        <v>1</v>
      </c>
      <c r="D317" s="16" t="s">
        <v>25</v>
      </c>
      <c r="E317" s="16" t="s">
        <v>48</v>
      </c>
      <c r="F317" s="17" t="s">
        <v>59</v>
      </c>
      <c r="G317" s="17" t="s">
        <v>28</v>
      </c>
      <c r="H317" s="17" t="s">
        <v>29</v>
      </c>
      <c r="I317" s="17" t="s">
        <v>136</v>
      </c>
      <c r="J317" s="8">
        <v>2.4</v>
      </c>
      <c r="K317" s="8">
        <v>2.8</v>
      </c>
      <c r="L317" s="8">
        <f t="shared" si="61"/>
        <v>16.666666666666664</v>
      </c>
      <c r="M317" s="9">
        <v>65</v>
      </c>
      <c r="N317" s="9">
        <v>69</v>
      </c>
      <c r="O317" s="10">
        <f t="shared" si="53"/>
        <v>6.1538461538461542</v>
      </c>
      <c r="P317" s="11" t="s">
        <v>31</v>
      </c>
      <c r="Q317" s="11" t="s">
        <v>31</v>
      </c>
      <c r="R317" s="33" t="s">
        <v>31</v>
      </c>
      <c r="S317" s="37">
        <f t="shared" si="55"/>
        <v>1.3802112417116059</v>
      </c>
      <c r="T317" s="37">
        <f t="shared" si="56"/>
        <v>2.2218487496163561</v>
      </c>
      <c r="U317" s="42">
        <f t="shared" si="57"/>
        <v>2.8129133566428557</v>
      </c>
      <c r="V317" s="41">
        <f t="shared" si="58"/>
        <v>1.7891466346851068</v>
      </c>
      <c r="W317" s="43" t="e">
        <f t="shared" si="59"/>
        <v>#VALUE!</v>
      </c>
      <c r="X317" s="43" t="e">
        <f t="shared" si="60"/>
        <v>#VALUE!</v>
      </c>
    </row>
    <row r="318" spans="1:24" ht="14.25" customHeight="1">
      <c r="A318" s="50"/>
      <c r="B318" s="8">
        <v>3</v>
      </c>
      <c r="C318" s="8">
        <f t="shared" si="51"/>
        <v>1.5</v>
      </c>
      <c r="D318" s="16" t="s">
        <v>25</v>
      </c>
      <c r="E318" s="16" t="s">
        <v>48</v>
      </c>
      <c r="F318" s="17" t="s">
        <v>59</v>
      </c>
      <c r="G318" s="17" t="s">
        <v>28</v>
      </c>
      <c r="H318" s="17" t="s">
        <v>29</v>
      </c>
      <c r="I318" s="17" t="s">
        <v>136</v>
      </c>
      <c r="J318" s="8">
        <v>2.4</v>
      </c>
      <c r="K318" s="8">
        <v>2.85</v>
      </c>
      <c r="L318" s="8">
        <f t="shared" si="61"/>
        <v>18.750000000000007</v>
      </c>
      <c r="M318" s="9">
        <v>65</v>
      </c>
      <c r="N318" s="9">
        <v>70</v>
      </c>
      <c r="O318" s="10">
        <f t="shared" si="53"/>
        <v>7.6923076923076925</v>
      </c>
      <c r="P318" s="11" t="s">
        <v>31</v>
      </c>
      <c r="Q318" s="11" t="s">
        <v>31</v>
      </c>
      <c r="R318" s="33" t="s">
        <v>31</v>
      </c>
      <c r="S318" s="37">
        <f t="shared" si="55"/>
        <v>1.3802112417116059</v>
      </c>
      <c r="T318" s="37">
        <f t="shared" si="56"/>
        <v>2.2730012720637376</v>
      </c>
      <c r="U318" s="42">
        <f t="shared" si="57"/>
        <v>2.8129133566428557</v>
      </c>
      <c r="V318" s="41">
        <f t="shared" si="58"/>
        <v>1.8860566476931633</v>
      </c>
      <c r="W318" s="43" t="e">
        <f t="shared" si="59"/>
        <v>#VALUE!</v>
      </c>
      <c r="X318" s="43" t="e">
        <f t="shared" si="60"/>
        <v>#VALUE!</v>
      </c>
    </row>
    <row r="319" spans="1:24" ht="14.25" customHeight="1">
      <c r="A319" s="48" t="s">
        <v>159</v>
      </c>
      <c r="B319" s="8">
        <v>5</v>
      </c>
      <c r="C319" s="8">
        <f t="shared" si="51"/>
        <v>2.5</v>
      </c>
      <c r="D319" s="16" t="s">
        <v>42</v>
      </c>
      <c r="E319" s="16" t="s">
        <v>148</v>
      </c>
      <c r="F319" s="17" t="s">
        <v>59</v>
      </c>
      <c r="G319" s="17" t="s">
        <v>38</v>
      </c>
      <c r="H319" s="17" t="s">
        <v>29</v>
      </c>
      <c r="I319" s="17" t="s">
        <v>136</v>
      </c>
      <c r="J319" s="8">
        <v>2.94</v>
      </c>
      <c r="K319" s="8">
        <v>2.09</v>
      </c>
      <c r="L319" s="8">
        <f t="shared" si="61"/>
        <v>-28.911564625850346</v>
      </c>
      <c r="M319" s="9">
        <v>65.8</v>
      </c>
      <c r="N319" s="9">
        <v>67.3</v>
      </c>
      <c r="O319" s="10">
        <f t="shared" si="53"/>
        <v>2.2796352583586628</v>
      </c>
      <c r="P319" s="11">
        <v>7.51</v>
      </c>
      <c r="Q319" s="11">
        <v>5.56</v>
      </c>
      <c r="R319" s="33">
        <f t="shared" si="62"/>
        <v>-25.965379494007994</v>
      </c>
      <c r="S319" s="37">
        <f t="shared" si="55"/>
        <v>1.4683473304121573</v>
      </c>
      <c r="T319" s="37" t="e">
        <f t="shared" si="56"/>
        <v>#NUM!</v>
      </c>
      <c r="U319" s="42">
        <f t="shared" si="57"/>
        <v>2.8182258936139557</v>
      </c>
      <c r="V319" s="41">
        <f t="shared" si="58"/>
        <v>1.3578653654417259</v>
      </c>
      <c r="W319" s="43">
        <f t="shared" si="59"/>
        <v>1.8756399370041683</v>
      </c>
      <c r="X319" s="43" t="e">
        <f t="shared" si="60"/>
        <v>#NUM!</v>
      </c>
    </row>
    <row r="320" spans="1:24" ht="14.25" customHeight="1">
      <c r="A320" s="54"/>
      <c r="B320" s="8">
        <v>10</v>
      </c>
      <c r="C320" s="8">
        <f t="shared" si="51"/>
        <v>5</v>
      </c>
      <c r="D320" s="16" t="s">
        <v>42</v>
      </c>
      <c r="E320" s="16" t="s">
        <v>148</v>
      </c>
      <c r="F320" s="17" t="s">
        <v>59</v>
      </c>
      <c r="G320" s="17" t="s">
        <v>38</v>
      </c>
      <c r="H320" s="17" t="s">
        <v>29</v>
      </c>
      <c r="I320" s="17" t="s">
        <v>136</v>
      </c>
      <c r="J320" s="8">
        <v>2.94</v>
      </c>
      <c r="K320" s="8">
        <v>2.61</v>
      </c>
      <c r="L320" s="8">
        <f t="shared" si="61"/>
        <v>-11.22448979591837</v>
      </c>
      <c r="M320" s="9">
        <v>65.8</v>
      </c>
      <c r="N320" s="9">
        <v>60.1</v>
      </c>
      <c r="O320" s="10">
        <f t="shared" si="53"/>
        <v>-8.6626139817629131</v>
      </c>
      <c r="P320" s="11">
        <v>7.51</v>
      </c>
      <c r="Q320" s="11">
        <v>9.59</v>
      </c>
      <c r="R320" s="33">
        <f t="shared" si="62"/>
        <v>27.696404793608526</v>
      </c>
      <c r="S320" s="37">
        <f t="shared" si="55"/>
        <v>1.4683473304121573</v>
      </c>
      <c r="T320" s="37" t="e">
        <f t="shared" si="56"/>
        <v>#NUM!</v>
      </c>
      <c r="U320" s="42">
        <f t="shared" si="57"/>
        <v>2.8182258936139557</v>
      </c>
      <c r="V320" s="41" t="e">
        <f t="shared" si="58"/>
        <v>#NUM!</v>
      </c>
      <c r="W320" s="43">
        <f t="shared" si="59"/>
        <v>1.8756399370041683</v>
      </c>
      <c r="X320" s="43">
        <f t="shared" si="60"/>
        <v>2.4424233979585934</v>
      </c>
    </row>
    <row r="321" spans="1:24" ht="14.25" customHeight="1">
      <c r="A321" s="54"/>
      <c r="B321" s="8">
        <v>15</v>
      </c>
      <c r="C321" s="8">
        <f t="shared" si="51"/>
        <v>7.5</v>
      </c>
      <c r="D321" s="16" t="s">
        <v>42</v>
      </c>
      <c r="E321" s="16" t="s">
        <v>148</v>
      </c>
      <c r="F321" s="17" t="s">
        <v>59</v>
      </c>
      <c r="G321" s="17" t="s">
        <v>38</v>
      </c>
      <c r="H321" s="17" t="s">
        <v>29</v>
      </c>
      <c r="I321" s="17" t="s">
        <v>136</v>
      </c>
      <c r="J321" s="8">
        <v>2.94</v>
      </c>
      <c r="K321" s="8">
        <v>3.17</v>
      </c>
      <c r="L321" s="8">
        <f t="shared" si="61"/>
        <v>7.8231292517006796</v>
      </c>
      <c r="M321" s="9">
        <v>65.8</v>
      </c>
      <c r="N321" s="9">
        <v>65.5</v>
      </c>
      <c r="O321" s="10">
        <f t="shared" si="53"/>
        <v>-0.45592705167172826</v>
      </c>
      <c r="P321" s="11">
        <v>7.51</v>
      </c>
      <c r="Q321" s="11">
        <v>6.76</v>
      </c>
      <c r="R321" s="33">
        <f t="shared" si="62"/>
        <v>-9.9866844207723044</v>
      </c>
      <c r="S321" s="37">
        <f t="shared" si="55"/>
        <v>1.4683473304121573</v>
      </c>
      <c r="T321" s="37">
        <f t="shared" si="56"/>
        <v>1.8933805056054356</v>
      </c>
      <c r="U321" s="42">
        <f t="shared" si="57"/>
        <v>2.8182258936139557</v>
      </c>
      <c r="V321" s="41" t="e">
        <f t="shared" si="58"/>
        <v>#NUM!</v>
      </c>
      <c r="W321" s="43">
        <f t="shared" si="59"/>
        <v>1.8756399370041683</v>
      </c>
      <c r="X321" s="43" t="e">
        <f t="shared" si="60"/>
        <v>#NUM!</v>
      </c>
    </row>
    <row r="322" spans="1:24" ht="14.25" customHeight="1">
      <c r="A322" s="54"/>
      <c r="B322" s="8">
        <v>20</v>
      </c>
      <c r="C322" s="8">
        <f t="shared" si="51"/>
        <v>10</v>
      </c>
      <c r="D322" s="16" t="s">
        <v>42</v>
      </c>
      <c r="E322" s="16" t="s">
        <v>148</v>
      </c>
      <c r="F322" s="17" t="s">
        <v>59</v>
      </c>
      <c r="G322" s="17" t="s">
        <v>38</v>
      </c>
      <c r="H322" s="17" t="s">
        <v>29</v>
      </c>
      <c r="I322" s="17" t="s">
        <v>136</v>
      </c>
      <c r="J322" s="8">
        <v>2.94</v>
      </c>
      <c r="K322" s="8">
        <v>2.83</v>
      </c>
      <c r="L322" s="8">
        <f t="shared" si="61"/>
        <v>-3.7414965986394515</v>
      </c>
      <c r="M322" s="9">
        <v>65.8</v>
      </c>
      <c r="N322" s="9">
        <v>59.2</v>
      </c>
      <c r="O322" s="10">
        <f t="shared" si="53"/>
        <v>-10.030395136778107</v>
      </c>
      <c r="P322" s="11">
        <v>7.51</v>
      </c>
      <c r="Q322" s="11">
        <v>10.77</v>
      </c>
      <c r="R322" s="33">
        <f t="shared" si="62"/>
        <v>43.408788282290281</v>
      </c>
      <c r="S322" s="37">
        <f t="shared" si="55"/>
        <v>1.4683473304121573</v>
      </c>
      <c r="T322" s="37" t="e">
        <f t="shared" si="56"/>
        <v>#NUM!</v>
      </c>
      <c r="U322" s="42">
        <f t="shared" si="57"/>
        <v>2.8182258936139557</v>
      </c>
      <c r="V322" s="41" t="e">
        <f t="shared" si="58"/>
        <v>#NUM!</v>
      </c>
      <c r="W322" s="43">
        <f t="shared" si="59"/>
        <v>1.8756399370041683</v>
      </c>
      <c r="X322" s="43">
        <f t="shared" si="60"/>
        <v>2.6375776630637708</v>
      </c>
    </row>
    <row r="323" spans="1:24" ht="14.25" customHeight="1">
      <c r="A323" s="54"/>
      <c r="B323" s="8">
        <v>15</v>
      </c>
      <c r="C323" s="8">
        <f t="shared" si="51"/>
        <v>7.5</v>
      </c>
      <c r="D323" s="16" t="s">
        <v>42</v>
      </c>
      <c r="E323" s="16" t="s">
        <v>148</v>
      </c>
      <c r="F323" s="17" t="s">
        <v>59</v>
      </c>
      <c r="G323" s="17" t="s">
        <v>38</v>
      </c>
      <c r="H323" s="17" t="s">
        <v>29</v>
      </c>
      <c r="I323" s="17" t="s">
        <v>136</v>
      </c>
      <c r="J323" s="8">
        <v>2.94</v>
      </c>
      <c r="K323" s="8">
        <v>3.05</v>
      </c>
      <c r="L323" s="8">
        <f t="shared" si="61"/>
        <v>3.7414965986394515</v>
      </c>
      <c r="M323" s="9">
        <v>65.8</v>
      </c>
      <c r="N323" s="9">
        <v>65.900000000000006</v>
      </c>
      <c r="O323" s="10">
        <f t="shared" si="53"/>
        <v>0.15197568389059046</v>
      </c>
      <c r="P323" s="11">
        <v>7.51</v>
      </c>
      <c r="Q323" s="11">
        <v>6.17</v>
      </c>
      <c r="R323" s="33">
        <f t="shared" si="62"/>
        <v>-17.842876165113182</v>
      </c>
      <c r="S323" s="37">
        <f t="shared" si="55"/>
        <v>1.4683473304121573</v>
      </c>
      <c r="T323" s="37">
        <f t="shared" si="56"/>
        <v>1.5730453547460672</v>
      </c>
      <c r="U323" s="42">
        <f t="shared" si="57"/>
        <v>2.8182258936139557</v>
      </c>
      <c r="V323" s="41">
        <f t="shared" si="58"/>
        <v>0.18177410638608152</v>
      </c>
      <c r="W323" s="43">
        <f t="shared" si="59"/>
        <v>1.8756399370041683</v>
      </c>
      <c r="X323" s="43" t="e">
        <f t="shared" si="60"/>
        <v>#NUM!</v>
      </c>
    </row>
    <row r="324" spans="1:24" ht="14.25" customHeight="1">
      <c r="A324" s="54"/>
      <c r="B324" s="8">
        <v>20</v>
      </c>
      <c r="C324" s="8">
        <f t="shared" si="51"/>
        <v>10</v>
      </c>
      <c r="D324" s="16" t="s">
        <v>42</v>
      </c>
      <c r="E324" s="16" t="s">
        <v>148</v>
      </c>
      <c r="F324" s="17" t="s">
        <v>59</v>
      </c>
      <c r="G324" s="17" t="s">
        <v>38</v>
      </c>
      <c r="H324" s="17" t="s">
        <v>29</v>
      </c>
      <c r="I324" s="17" t="s">
        <v>136</v>
      </c>
      <c r="J324" s="8">
        <v>2.94</v>
      </c>
      <c r="K324" s="8">
        <v>2.71</v>
      </c>
      <c r="L324" s="8">
        <f t="shared" si="61"/>
        <v>-7.8231292517006796</v>
      </c>
      <c r="M324" s="9">
        <v>65.8</v>
      </c>
      <c r="N324" s="9">
        <v>58.5</v>
      </c>
      <c r="O324" s="10">
        <f t="shared" si="53"/>
        <v>-11.094224924012154</v>
      </c>
      <c r="P324" s="11">
        <v>7.51</v>
      </c>
      <c r="Q324" s="11">
        <v>10.77</v>
      </c>
      <c r="R324" s="33">
        <f t="shared" si="62"/>
        <v>43.408788282290281</v>
      </c>
      <c r="S324" s="37">
        <f t="shared" ref="S324:S387" si="63">LOG10(J324*10)</f>
        <v>1.4683473304121573</v>
      </c>
      <c r="T324" s="37" t="e">
        <f t="shared" ref="T324:T387" si="64">LOG10(L324*10)</f>
        <v>#NUM!</v>
      </c>
      <c r="U324" s="42">
        <f t="shared" ref="U324:U387" si="65">LOG10(M324*10)</f>
        <v>2.8182258936139557</v>
      </c>
      <c r="V324" s="41" t="e">
        <f t="shared" ref="V324:V387" si="66">LOG10(O324*10)</f>
        <v>#NUM!</v>
      </c>
      <c r="W324" s="43">
        <f t="shared" ref="W324:W387" si="67">LOG10(P324*10)</f>
        <v>1.8756399370041683</v>
      </c>
      <c r="X324" s="43">
        <f t="shared" ref="X324:X387" si="68">LOG10(R324*10)</f>
        <v>2.6375776630637708</v>
      </c>
    </row>
    <row r="325" spans="1:24" ht="14.25" customHeight="1">
      <c r="A325" s="54"/>
      <c r="B325" s="8">
        <v>5</v>
      </c>
      <c r="C325" s="8">
        <f t="shared" si="51"/>
        <v>2.5</v>
      </c>
      <c r="D325" s="16" t="s">
        <v>42</v>
      </c>
      <c r="E325" s="16" t="s">
        <v>148</v>
      </c>
      <c r="F325" s="17" t="s">
        <v>59</v>
      </c>
      <c r="G325" s="17" t="s">
        <v>38</v>
      </c>
      <c r="H325" s="17" t="s">
        <v>29</v>
      </c>
      <c r="I325" s="17" t="s">
        <v>136</v>
      </c>
      <c r="J325" s="8">
        <v>2.63</v>
      </c>
      <c r="K325" s="8">
        <v>2.63</v>
      </c>
      <c r="L325" s="8">
        <f t="shared" si="61"/>
        <v>0</v>
      </c>
      <c r="M325" s="9">
        <v>74.900000000000006</v>
      </c>
      <c r="N325" s="9">
        <v>73.400000000000006</v>
      </c>
      <c r="O325" s="10">
        <f t="shared" si="53"/>
        <v>-2.002670226969292</v>
      </c>
      <c r="P325" s="11">
        <v>1.79</v>
      </c>
      <c r="Q325" s="11">
        <v>1.98</v>
      </c>
      <c r="R325" s="33">
        <f t="shared" si="62"/>
        <v>10.614525139664801</v>
      </c>
      <c r="S325" s="37">
        <f t="shared" si="63"/>
        <v>1.4199557484897578</v>
      </c>
      <c r="T325" s="37" t="e">
        <f t="shared" si="64"/>
        <v>#NUM!</v>
      </c>
      <c r="U325" s="42">
        <f t="shared" si="65"/>
        <v>2.8744818176994666</v>
      </c>
      <c r="V325" s="41" t="e">
        <f t="shared" si="66"/>
        <v>#NUM!</v>
      </c>
      <c r="W325" s="43">
        <f t="shared" si="67"/>
        <v>1.2528530309798931</v>
      </c>
      <c r="X325" s="43">
        <f t="shared" si="68"/>
        <v>2.0259005699729355</v>
      </c>
    </row>
    <row r="326" spans="1:24" ht="14.25" customHeight="1">
      <c r="A326" s="54"/>
      <c r="B326" s="8">
        <v>10</v>
      </c>
      <c r="C326" s="8">
        <f t="shared" si="51"/>
        <v>5</v>
      </c>
      <c r="D326" s="16" t="s">
        <v>42</v>
      </c>
      <c r="E326" s="16" t="s">
        <v>148</v>
      </c>
      <c r="F326" s="17" t="s">
        <v>59</v>
      </c>
      <c r="G326" s="17" t="s">
        <v>38</v>
      </c>
      <c r="H326" s="17" t="s">
        <v>29</v>
      </c>
      <c r="I326" s="17" t="s">
        <v>136</v>
      </c>
      <c r="J326" s="8">
        <v>2.63</v>
      </c>
      <c r="K326" s="8">
        <v>2.4900000000000002</v>
      </c>
      <c r="L326" s="8">
        <f t="shared" si="61"/>
        <v>-5.3231939163497977</v>
      </c>
      <c r="M326" s="9">
        <v>74.900000000000006</v>
      </c>
      <c r="N326" s="9">
        <v>71.900000000000006</v>
      </c>
      <c r="O326" s="10">
        <f t="shared" si="53"/>
        <v>-4.005340453938584</v>
      </c>
      <c r="P326" s="11">
        <v>1.79</v>
      </c>
      <c r="Q326" s="11">
        <v>2.2799999999999998</v>
      </c>
      <c r="R326" s="33">
        <f t="shared" si="62"/>
        <v>27.374301675977641</v>
      </c>
      <c r="S326" s="37">
        <f t="shared" si="63"/>
        <v>1.4199557484897578</v>
      </c>
      <c r="T326" s="37" t="e">
        <f t="shared" si="64"/>
        <v>#NUM!</v>
      </c>
      <c r="U326" s="42">
        <f t="shared" si="65"/>
        <v>2.8744818176994666</v>
      </c>
      <c r="V326" s="41" t="e">
        <f t="shared" si="66"/>
        <v>#NUM!</v>
      </c>
      <c r="W326" s="43">
        <f t="shared" si="67"/>
        <v>1.2528530309798931</v>
      </c>
      <c r="X326" s="43">
        <f t="shared" si="68"/>
        <v>2.4373430490486201</v>
      </c>
    </row>
    <row r="327" spans="1:24" ht="14.25" customHeight="1">
      <c r="A327" s="54"/>
      <c r="B327" s="8">
        <v>15</v>
      </c>
      <c r="C327" s="8">
        <f t="shared" si="51"/>
        <v>7.5</v>
      </c>
      <c r="D327" s="16" t="s">
        <v>42</v>
      </c>
      <c r="E327" s="16" t="s">
        <v>148</v>
      </c>
      <c r="F327" s="17" t="s">
        <v>59</v>
      </c>
      <c r="G327" s="17" t="s">
        <v>38</v>
      </c>
      <c r="H327" s="17" t="s">
        <v>29</v>
      </c>
      <c r="I327" s="17" t="s">
        <v>136</v>
      </c>
      <c r="J327" s="8">
        <v>2.63</v>
      </c>
      <c r="K327" s="8">
        <v>2.82</v>
      </c>
      <c r="L327" s="8">
        <f t="shared" si="61"/>
        <v>7.2243346007604545</v>
      </c>
      <c r="M327" s="9">
        <v>74.900000000000006</v>
      </c>
      <c r="N327" s="9">
        <v>68.5</v>
      </c>
      <c r="O327" s="10">
        <f t="shared" si="53"/>
        <v>-8.5447263017356541</v>
      </c>
      <c r="P327" s="11">
        <v>1.79</v>
      </c>
      <c r="Q327" s="11">
        <v>1.21</v>
      </c>
      <c r="R327" s="33">
        <f t="shared" si="62"/>
        <v>-32.402234636871512</v>
      </c>
      <c r="S327" s="37">
        <f t="shared" si="63"/>
        <v>1.4199557484897578</v>
      </c>
      <c r="T327" s="37">
        <f t="shared" si="64"/>
        <v>1.8587978524630711</v>
      </c>
      <c r="U327" s="42">
        <f t="shared" si="65"/>
        <v>2.8744818176994666</v>
      </c>
      <c r="V327" s="41" t="e">
        <f t="shared" si="66"/>
        <v>#NUM!</v>
      </c>
      <c r="W327" s="43">
        <f t="shared" si="67"/>
        <v>1.2528530309798931</v>
      </c>
      <c r="X327" s="43" t="e">
        <f t="shared" si="68"/>
        <v>#NUM!</v>
      </c>
    </row>
    <row r="328" spans="1:24" ht="14.25" customHeight="1">
      <c r="A328" s="54"/>
      <c r="B328" s="8">
        <v>20</v>
      </c>
      <c r="C328" s="8">
        <f t="shared" si="51"/>
        <v>10</v>
      </c>
      <c r="D328" s="16" t="s">
        <v>42</v>
      </c>
      <c r="E328" s="16" t="s">
        <v>148</v>
      </c>
      <c r="F328" s="17" t="s">
        <v>59</v>
      </c>
      <c r="G328" s="17" t="s">
        <v>38</v>
      </c>
      <c r="H328" s="17" t="s">
        <v>29</v>
      </c>
      <c r="I328" s="17" t="s">
        <v>136</v>
      </c>
      <c r="J328" s="8">
        <v>2.63</v>
      </c>
      <c r="K328" s="8">
        <v>2.71</v>
      </c>
      <c r="L328" s="8">
        <f t="shared" si="61"/>
        <v>3.0418250950570371</v>
      </c>
      <c r="M328" s="9">
        <v>74.900000000000006</v>
      </c>
      <c r="N328" s="9">
        <v>56.6</v>
      </c>
      <c r="O328" s="10">
        <f t="shared" si="53"/>
        <v>-24.432576769025371</v>
      </c>
      <c r="P328" s="11">
        <v>1.79</v>
      </c>
      <c r="Q328" s="11">
        <v>0.7</v>
      </c>
      <c r="R328" s="33">
        <f t="shared" si="62"/>
        <v>-60.89385474860336</v>
      </c>
      <c r="S328" s="37">
        <f t="shared" si="63"/>
        <v>1.4199557484897578</v>
      </c>
      <c r="T328" s="37">
        <f t="shared" si="64"/>
        <v>1.4831342385021862</v>
      </c>
      <c r="U328" s="42">
        <f t="shared" si="65"/>
        <v>2.8744818176994666</v>
      </c>
      <c r="V328" s="41" t="e">
        <f t="shared" si="66"/>
        <v>#NUM!</v>
      </c>
      <c r="W328" s="43">
        <f t="shared" si="67"/>
        <v>1.2528530309798931</v>
      </c>
      <c r="X328" s="43" t="e">
        <f t="shared" si="68"/>
        <v>#NUM!</v>
      </c>
    </row>
    <row r="329" spans="1:24" ht="14.25" customHeight="1">
      <c r="A329" s="54"/>
      <c r="B329" s="8">
        <v>15</v>
      </c>
      <c r="C329" s="8">
        <f t="shared" si="51"/>
        <v>7.5</v>
      </c>
      <c r="D329" s="16" t="s">
        <v>42</v>
      </c>
      <c r="E329" s="16" t="s">
        <v>148</v>
      </c>
      <c r="F329" s="17" t="s">
        <v>59</v>
      </c>
      <c r="G329" s="17" t="s">
        <v>38</v>
      </c>
      <c r="H329" s="17" t="s">
        <v>29</v>
      </c>
      <c r="I329" s="17" t="s">
        <v>136</v>
      </c>
      <c r="J329" s="8">
        <v>2.63</v>
      </c>
      <c r="K329" s="8">
        <v>2.79</v>
      </c>
      <c r="L329" s="8">
        <f t="shared" si="61"/>
        <v>6.0836501901140743</v>
      </c>
      <c r="M329" s="9">
        <v>74.900000000000006</v>
      </c>
      <c r="N329" s="9">
        <v>52.5</v>
      </c>
      <c r="O329" s="10">
        <f t="shared" si="53"/>
        <v>-29.90654205607477</v>
      </c>
      <c r="P329" s="11">
        <v>1.79</v>
      </c>
      <c r="Q329" s="11">
        <v>0.88</v>
      </c>
      <c r="R329" s="33">
        <f t="shared" si="62"/>
        <v>-50.837988826815639</v>
      </c>
      <c r="S329" s="37">
        <f t="shared" si="63"/>
        <v>1.4199557484897578</v>
      </c>
      <c r="T329" s="37">
        <f t="shared" si="64"/>
        <v>1.7841642341661674</v>
      </c>
      <c r="U329" s="42">
        <f t="shared" si="65"/>
        <v>2.8744818176994666</v>
      </c>
      <c r="V329" s="41" t="e">
        <f t="shared" si="66"/>
        <v>#NUM!</v>
      </c>
      <c r="W329" s="43">
        <f t="shared" si="67"/>
        <v>1.2528530309798931</v>
      </c>
      <c r="X329" s="43" t="e">
        <f t="shared" si="68"/>
        <v>#NUM!</v>
      </c>
    </row>
    <row r="330" spans="1:24" ht="14.25" customHeight="1">
      <c r="A330" s="54"/>
      <c r="B330" s="8">
        <v>20</v>
      </c>
      <c r="C330" s="8">
        <f t="shared" si="51"/>
        <v>10</v>
      </c>
      <c r="D330" s="16" t="s">
        <v>42</v>
      </c>
      <c r="E330" s="16" t="s">
        <v>148</v>
      </c>
      <c r="F330" s="17" t="s">
        <v>59</v>
      </c>
      <c r="G330" s="17" t="s">
        <v>38</v>
      </c>
      <c r="H330" s="17" t="s">
        <v>29</v>
      </c>
      <c r="I330" s="17" t="s">
        <v>136</v>
      </c>
      <c r="J330" s="8">
        <v>2.63</v>
      </c>
      <c r="K330" s="8">
        <v>2.59</v>
      </c>
      <c r="L330" s="8">
        <f t="shared" si="61"/>
        <v>-1.5209125475285186</v>
      </c>
      <c r="M330" s="9">
        <v>74.900000000000006</v>
      </c>
      <c r="N330" s="9">
        <v>54.2</v>
      </c>
      <c r="O330" s="10">
        <f t="shared" si="53"/>
        <v>-27.636849132176238</v>
      </c>
      <c r="P330" s="11">
        <v>1.79</v>
      </c>
      <c r="Q330" s="11">
        <v>1.18</v>
      </c>
      <c r="R330" s="33">
        <f t="shared" si="62"/>
        <v>-34.078212290502798</v>
      </c>
      <c r="S330" s="37">
        <f t="shared" si="63"/>
        <v>1.4199557484897578</v>
      </c>
      <c r="T330" s="37" t="e">
        <f t="shared" si="64"/>
        <v>#NUM!</v>
      </c>
      <c r="U330" s="42">
        <f t="shared" si="65"/>
        <v>2.8744818176994666</v>
      </c>
      <c r="V330" s="41" t="e">
        <f t="shared" si="66"/>
        <v>#NUM!</v>
      </c>
      <c r="W330" s="43">
        <f t="shared" si="67"/>
        <v>1.2528530309798931</v>
      </c>
      <c r="X330" s="43" t="e">
        <f t="shared" si="68"/>
        <v>#NUM!</v>
      </c>
    </row>
    <row r="331" spans="1:24" ht="14.25" customHeight="1">
      <c r="A331" s="54"/>
      <c r="B331" s="8">
        <v>5</v>
      </c>
      <c r="C331" s="8">
        <f t="shared" si="51"/>
        <v>2.5</v>
      </c>
      <c r="D331" s="16" t="s">
        <v>42</v>
      </c>
      <c r="E331" s="16" t="s">
        <v>148</v>
      </c>
      <c r="F331" s="17" t="s">
        <v>59</v>
      </c>
      <c r="G331" s="17" t="s">
        <v>38</v>
      </c>
      <c r="H331" s="17" t="s">
        <v>29</v>
      </c>
      <c r="I331" s="17" t="s">
        <v>136</v>
      </c>
      <c r="J331" s="8">
        <v>3.06</v>
      </c>
      <c r="K331" s="8">
        <v>2.92</v>
      </c>
      <c r="L331" s="8">
        <f t="shared" si="61"/>
        <v>-4.5751633986928146</v>
      </c>
      <c r="M331" s="9">
        <v>83</v>
      </c>
      <c r="N331" s="9">
        <v>76.7</v>
      </c>
      <c r="O331" s="10">
        <f t="shared" si="53"/>
        <v>-7.5903614457831292</v>
      </c>
      <c r="P331" s="11">
        <v>0.68</v>
      </c>
      <c r="Q331" s="11">
        <v>1.6</v>
      </c>
      <c r="R331" s="33">
        <f t="shared" si="62"/>
        <v>135.29411764705881</v>
      </c>
      <c r="S331" s="37">
        <f t="shared" si="63"/>
        <v>1.4857214264815801</v>
      </c>
      <c r="T331" s="37" t="e">
        <f t="shared" si="64"/>
        <v>#NUM!</v>
      </c>
      <c r="U331" s="42">
        <f t="shared" si="65"/>
        <v>2.9190780923760737</v>
      </c>
      <c r="V331" s="41" t="e">
        <f t="shared" si="66"/>
        <v>#NUM!</v>
      </c>
      <c r="W331" s="43">
        <f t="shared" si="67"/>
        <v>0.83250891270623639</v>
      </c>
      <c r="X331" s="43">
        <f t="shared" si="68"/>
        <v>3.131278914639319</v>
      </c>
    </row>
    <row r="332" spans="1:24" ht="14.25" customHeight="1">
      <c r="A332" s="54"/>
      <c r="B332" s="8">
        <v>10</v>
      </c>
      <c r="C332" s="8">
        <f t="shared" si="51"/>
        <v>5</v>
      </c>
      <c r="D332" s="16" t="s">
        <v>42</v>
      </c>
      <c r="E332" s="16" t="s">
        <v>148</v>
      </c>
      <c r="F332" s="17" t="s">
        <v>59</v>
      </c>
      <c r="G332" s="17" t="s">
        <v>38</v>
      </c>
      <c r="H332" s="17" t="s">
        <v>29</v>
      </c>
      <c r="I332" s="17" t="s">
        <v>136</v>
      </c>
      <c r="J332" s="8">
        <v>3.06</v>
      </c>
      <c r="K332" s="8">
        <v>2.2599999999999998</v>
      </c>
      <c r="L332" s="8">
        <f t="shared" si="61"/>
        <v>-26.143790849673209</v>
      </c>
      <c r="M332" s="9">
        <v>83</v>
      </c>
      <c r="N332" s="9">
        <v>70.3</v>
      </c>
      <c r="O332" s="10">
        <f t="shared" si="53"/>
        <v>-15.301204819277112</v>
      </c>
      <c r="P332" s="11">
        <v>0.68</v>
      </c>
      <c r="Q332" s="11">
        <v>1.62</v>
      </c>
      <c r="R332" s="33">
        <f t="shared" si="62"/>
        <v>138.23529411764704</v>
      </c>
      <c r="S332" s="37">
        <f t="shared" si="63"/>
        <v>1.4857214264815801</v>
      </c>
      <c r="T332" s="37" t="e">
        <f t="shared" si="64"/>
        <v>#NUM!</v>
      </c>
      <c r="U332" s="42">
        <f t="shared" si="65"/>
        <v>2.9190780923760737</v>
      </c>
      <c r="V332" s="41" t="e">
        <f t="shared" si="66"/>
        <v>#NUM!</v>
      </c>
      <c r="W332" s="43">
        <f t="shared" si="67"/>
        <v>0.83250891270623639</v>
      </c>
      <c r="X332" s="43">
        <f t="shared" si="68"/>
        <v>3.1406189408934622</v>
      </c>
    </row>
    <row r="333" spans="1:24" ht="14.25" customHeight="1">
      <c r="A333" s="55"/>
      <c r="B333" s="8">
        <v>15</v>
      </c>
      <c r="C333" s="8">
        <f t="shared" si="51"/>
        <v>7.5</v>
      </c>
      <c r="D333" s="16" t="s">
        <v>42</v>
      </c>
      <c r="E333" s="16" t="s">
        <v>148</v>
      </c>
      <c r="F333" s="17" t="s">
        <v>59</v>
      </c>
      <c r="G333" s="17" t="s">
        <v>38</v>
      </c>
      <c r="H333" s="17" t="s">
        <v>29</v>
      </c>
      <c r="I333" s="17" t="s">
        <v>136</v>
      </c>
      <c r="J333" s="8">
        <v>3.06</v>
      </c>
      <c r="K333" s="8">
        <v>3.03</v>
      </c>
      <c r="L333" s="8">
        <f t="shared" si="61"/>
        <v>-0.98039215686275327</v>
      </c>
      <c r="M333" s="9">
        <v>83</v>
      </c>
      <c r="N333" s="9">
        <v>75.7</v>
      </c>
      <c r="O333" s="10">
        <f t="shared" si="53"/>
        <v>-8.7951807228915637</v>
      </c>
      <c r="P333" s="11">
        <v>0.68</v>
      </c>
      <c r="Q333" s="11">
        <v>1.25</v>
      </c>
      <c r="R333" s="33">
        <f t="shared" si="62"/>
        <v>83.823529411764696</v>
      </c>
      <c r="S333" s="37">
        <f t="shared" si="63"/>
        <v>1.4857214264815801</v>
      </c>
      <c r="T333" s="37" t="e">
        <f t="shared" si="64"/>
        <v>#NUM!</v>
      </c>
      <c r="U333" s="42">
        <f t="shared" si="65"/>
        <v>2.9190780923760737</v>
      </c>
      <c r="V333" s="41" t="e">
        <f t="shared" si="66"/>
        <v>#NUM!</v>
      </c>
      <c r="W333" s="43">
        <f t="shared" si="67"/>
        <v>0.83250891270623639</v>
      </c>
      <c r="X333" s="43">
        <f t="shared" si="68"/>
        <v>2.9233659429662548</v>
      </c>
    </row>
    <row r="334" spans="1:24" ht="14.25" customHeight="1">
      <c r="A334" s="55"/>
      <c r="B334" s="8">
        <v>20</v>
      </c>
      <c r="C334" s="8">
        <f t="shared" si="51"/>
        <v>10</v>
      </c>
      <c r="D334" s="16" t="s">
        <v>42</v>
      </c>
      <c r="E334" s="16" t="s">
        <v>148</v>
      </c>
      <c r="F334" s="17" t="s">
        <v>59</v>
      </c>
      <c r="G334" s="17" t="s">
        <v>38</v>
      </c>
      <c r="H334" s="17" t="s">
        <v>29</v>
      </c>
      <c r="I334" s="17" t="s">
        <v>136</v>
      </c>
      <c r="J334" s="8">
        <v>3.06</v>
      </c>
      <c r="K334" s="8">
        <v>2.52</v>
      </c>
      <c r="L334" s="8">
        <f t="shared" si="61"/>
        <v>-17.647058823529413</v>
      </c>
      <c r="M334" s="9">
        <v>83</v>
      </c>
      <c r="N334" s="9">
        <v>63.3</v>
      </c>
      <c r="O334" s="10">
        <f t="shared" si="53"/>
        <v>-23.734939759036148</v>
      </c>
      <c r="P334" s="11">
        <v>0.68</v>
      </c>
      <c r="Q334" s="11">
        <v>1.1200000000000001</v>
      </c>
      <c r="R334" s="33">
        <f t="shared" si="62"/>
        <v>64.705882352941174</v>
      </c>
      <c r="S334" s="37">
        <f t="shared" si="63"/>
        <v>1.4857214264815801</v>
      </c>
      <c r="T334" s="37" t="e">
        <f t="shared" si="64"/>
        <v>#NUM!</v>
      </c>
      <c r="U334" s="42">
        <f t="shared" si="65"/>
        <v>2.9190780923760737</v>
      </c>
      <c r="V334" s="41" t="e">
        <f t="shared" si="66"/>
        <v>#NUM!</v>
      </c>
      <c r="W334" s="43">
        <f t="shared" si="67"/>
        <v>0.83250891270623639</v>
      </c>
      <c r="X334" s="43">
        <f t="shared" si="68"/>
        <v>2.8109437637799513</v>
      </c>
    </row>
    <row r="335" spans="1:24" ht="14.25" customHeight="1">
      <c r="A335" s="56"/>
      <c r="B335" s="8">
        <v>20</v>
      </c>
      <c r="C335" s="8">
        <f t="shared" si="51"/>
        <v>10</v>
      </c>
      <c r="D335" s="16" t="s">
        <v>42</v>
      </c>
      <c r="E335" s="16" t="s">
        <v>148</v>
      </c>
      <c r="F335" s="17" t="s">
        <v>59</v>
      </c>
      <c r="G335" s="17" t="s">
        <v>38</v>
      </c>
      <c r="H335" s="17" t="s">
        <v>29</v>
      </c>
      <c r="I335" s="17" t="s">
        <v>136</v>
      </c>
      <c r="J335" s="8">
        <v>3.06</v>
      </c>
      <c r="K335" s="8">
        <v>2.93</v>
      </c>
      <c r="L335" s="8">
        <f t="shared" si="61"/>
        <v>-4.2483660130718919</v>
      </c>
      <c r="M335" s="9">
        <v>83</v>
      </c>
      <c r="N335" s="9">
        <v>64.8</v>
      </c>
      <c r="O335" s="10">
        <f t="shared" si="53"/>
        <v>-21.927710843373497</v>
      </c>
      <c r="P335" s="11">
        <v>0.68</v>
      </c>
      <c r="Q335" s="11">
        <v>0.65</v>
      </c>
      <c r="R335" s="33">
        <f t="shared" si="62"/>
        <v>-4.4117647058823568</v>
      </c>
      <c r="S335" s="37">
        <f t="shared" si="63"/>
        <v>1.4857214264815801</v>
      </c>
      <c r="T335" s="37" t="e">
        <f t="shared" si="64"/>
        <v>#NUM!</v>
      </c>
      <c r="U335" s="42">
        <f t="shared" si="65"/>
        <v>2.9190780923760737</v>
      </c>
      <c r="V335" s="41" t="e">
        <f t="shared" si="66"/>
        <v>#NUM!</v>
      </c>
      <c r="W335" s="43">
        <f t="shared" si="67"/>
        <v>0.83250891270623639</v>
      </c>
      <c r="X335" s="43" t="e">
        <f t="shared" si="68"/>
        <v>#NUM!</v>
      </c>
    </row>
    <row r="336" spans="1:24" ht="14.25" customHeight="1">
      <c r="A336" s="45" t="s">
        <v>160</v>
      </c>
      <c r="B336" s="8">
        <v>1</v>
      </c>
      <c r="C336" s="8">
        <f t="shared" si="51"/>
        <v>0.5</v>
      </c>
      <c r="D336" s="16" t="s">
        <v>25</v>
      </c>
      <c r="E336" s="16" t="s">
        <v>58</v>
      </c>
      <c r="F336" s="17" t="s">
        <v>59</v>
      </c>
      <c r="G336" s="17" t="s">
        <v>93</v>
      </c>
      <c r="H336" s="17" t="s">
        <v>29</v>
      </c>
      <c r="I336" s="17" t="s">
        <v>161</v>
      </c>
      <c r="J336" s="8">
        <v>1.45</v>
      </c>
      <c r="K336" s="8">
        <v>1.63</v>
      </c>
      <c r="L336" s="8">
        <f t="shared" si="61"/>
        <v>12.413793103448272</v>
      </c>
      <c r="M336" s="9">
        <v>49.5</v>
      </c>
      <c r="N336" s="9">
        <v>58.6</v>
      </c>
      <c r="O336" s="10">
        <f t="shared" si="53"/>
        <v>18.383838383838384</v>
      </c>
      <c r="P336" s="11">
        <v>7.0999999999999994E-2</v>
      </c>
      <c r="Q336" s="11">
        <v>6.2E-2</v>
      </c>
      <c r="R336" s="33">
        <f t="shared" si="62"/>
        <v>-12.676056338028163</v>
      </c>
      <c r="S336" s="37">
        <f t="shared" si="63"/>
        <v>1.1613680022349748</v>
      </c>
      <c r="T336" s="37">
        <f t="shared" si="64"/>
        <v>2.0939045028683312</v>
      </c>
      <c r="U336" s="42">
        <f t="shared" si="65"/>
        <v>2.6946051989335689</v>
      </c>
      <c r="V336" s="41">
        <f t="shared" si="66"/>
        <v>2.264436193387525</v>
      </c>
      <c r="W336" s="43">
        <f t="shared" si="67"/>
        <v>-0.14874165128092473</v>
      </c>
      <c r="X336" s="43" t="e">
        <f t="shared" si="68"/>
        <v>#NUM!</v>
      </c>
    </row>
    <row r="337" spans="1:24" ht="14.25" customHeight="1">
      <c r="A337" s="49"/>
      <c r="B337" s="8">
        <v>3</v>
      </c>
      <c r="C337" s="8">
        <f t="shared" si="51"/>
        <v>1.5</v>
      </c>
      <c r="D337" s="16" t="s">
        <v>25</v>
      </c>
      <c r="E337" s="16" t="s">
        <v>58</v>
      </c>
      <c r="F337" s="17" t="s">
        <v>59</v>
      </c>
      <c r="G337" s="17" t="s">
        <v>37</v>
      </c>
      <c r="H337" s="17" t="s">
        <v>29</v>
      </c>
      <c r="I337" s="17" t="s">
        <v>161</v>
      </c>
      <c r="J337" s="8">
        <v>1.45</v>
      </c>
      <c r="K337" s="8">
        <v>1.71</v>
      </c>
      <c r="L337" s="8">
        <f t="shared" si="61"/>
        <v>17.931034482758623</v>
      </c>
      <c r="M337" s="9">
        <v>49.5</v>
      </c>
      <c r="N337" s="9">
        <v>66.8</v>
      </c>
      <c r="O337" s="10">
        <f t="shared" si="53"/>
        <v>34.949494949494941</v>
      </c>
      <c r="P337" s="11">
        <v>7.0999999999999994E-2</v>
      </c>
      <c r="Q337" s="11">
        <v>4.9000000000000002E-2</v>
      </c>
      <c r="R337" s="33">
        <f t="shared" si="62"/>
        <v>-30.985915492957737</v>
      </c>
      <c r="S337" s="37">
        <f t="shared" si="63"/>
        <v>1.1613680022349748</v>
      </c>
      <c r="T337" s="37">
        <f t="shared" si="64"/>
        <v>2.2536053457358429</v>
      </c>
      <c r="U337" s="42">
        <f t="shared" si="65"/>
        <v>2.6946051989335689</v>
      </c>
      <c r="V337" s="41">
        <f t="shared" si="66"/>
        <v>2.5434409041952266</v>
      </c>
      <c r="W337" s="43">
        <f t="shared" si="67"/>
        <v>-0.14874165128092473</v>
      </c>
      <c r="X337" s="43" t="e">
        <f t="shared" si="68"/>
        <v>#NUM!</v>
      </c>
    </row>
    <row r="338" spans="1:24" ht="14.25" customHeight="1">
      <c r="A338" s="49"/>
      <c r="B338" s="8">
        <v>5</v>
      </c>
      <c r="C338" s="8">
        <f t="shared" si="51"/>
        <v>2.5</v>
      </c>
      <c r="D338" s="16" t="s">
        <v>25</v>
      </c>
      <c r="E338" s="16" t="s">
        <v>58</v>
      </c>
      <c r="F338" s="17" t="s">
        <v>59</v>
      </c>
      <c r="G338" s="17" t="s">
        <v>38</v>
      </c>
      <c r="H338" s="17" t="s">
        <v>29</v>
      </c>
      <c r="I338" s="17" t="s">
        <v>161</v>
      </c>
      <c r="J338" s="8">
        <v>1.45</v>
      </c>
      <c r="K338" s="8">
        <v>1.58</v>
      </c>
      <c r="L338" s="8">
        <f t="shared" si="61"/>
        <v>8.9655172413793185</v>
      </c>
      <c r="M338" s="9">
        <v>49.5</v>
      </c>
      <c r="N338" s="9">
        <v>52.2</v>
      </c>
      <c r="O338" s="10">
        <f t="shared" si="53"/>
        <v>5.4545454545454604</v>
      </c>
      <c r="P338" s="11">
        <v>7.0999999999999994E-2</v>
      </c>
      <c r="Q338" s="11">
        <v>3.1E-2</v>
      </c>
      <c r="R338" s="33">
        <f t="shared" si="62"/>
        <v>-56.338028169014073</v>
      </c>
      <c r="S338" s="37">
        <f t="shared" si="63"/>
        <v>1.1613680022349748</v>
      </c>
      <c r="T338" s="37">
        <f t="shared" si="64"/>
        <v>1.9525753500718623</v>
      </c>
      <c r="U338" s="42">
        <f t="shared" si="65"/>
        <v>2.6946051989335689</v>
      </c>
      <c r="V338" s="41">
        <f t="shared" si="66"/>
        <v>1.7367585652254192</v>
      </c>
      <c r="W338" s="43">
        <f t="shared" si="67"/>
        <v>-0.14874165128092473</v>
      </c>
      <c r="X338" s="43" t="e">
        <f t="shared" si="68"/>
        <v>#NUM!</v>
      </c>
    </row>
    <row r="339" spans="1:24" ht="14.25" customHeight="1">
      <c r="A339" s="45" t="s">
        <v>162</v>
      </c>
      <c r="B339" s="8">
        <v>2</v>
      </c>
      <c r="C339" s="8">
        <f t="shared" si="51"/>
        <v>1</v>
      </c>
      <c r="D339" s="16" t="s">
        <v>42</v>
      </c>
      <c r="E339" s="16" t="s">
        <v>43</v>
      </c>
      <c r="F339" s="17" t="s">
        <v>59</v>
      </c>
      <c r="G339" s="17" t="s">
        <v>37</v>
      </c>
      <c r="H339" s="17" t="s">
        <v>29</v>
      </c>
      <c r="I339" s="17" t="s">
        <v>136</v>
      </c>
      <c r="J339" s="8" t="s">
        <v>31</v>
      </c>
      <c r="K339" s="8" t="s">
        <v>31</v>
      </c>
      <c r="L339" s="8" t="s">
        <v>31</v>
      </c>
      <c r="M339" s="9">
        <v>54.2</v>
      </c>
      <c r="N339" s="9">
        <v>57.4</v>
      </c>
      <c r="O339" s="10">
        <f t="shared" si="53"/>
        <v>5.904059040590397</v>
      </c>
      <c r="P339" s="11" t="s">
        <v>31</v>
      </c>
      <c r="Q339" s="11" t="s">
        <v>31</v>
      </c>
      <c r="R339" s="33" t="s">
        <v>31</v>
      </c>
      <c r="S339" s="37" t="e">
        <f t="shared" si="63"/>
        <v>#VALUE!</v>
      </c>
      <c r="T339" s="37" t="e">
        <f t="shared" si="64"/>
        <v>#VALUE!</v>
      </c>
      <c r="U339" s="42">
        <f t="shared" si="65"/>
        <v>2.7339992865383871</v>
      </c>
      <c r="V339" s="41">
        <f t="shared" si="66"/>
        <v>1.7711506917815183</v>
      </c>
      <c r="W339" s="43" t="e">
        <f t="shared" si="67"/>
        <v>#VALUE!</v>
      </c>
      <c r="X339" s="43" t="e">
        <f t="shared" si="68"/>
        <v>#VALUE!</v>
      </c>
    </row>
    <row r="340" spans="1:24" ht="14.25" customHeight="1">
      <c r="A340" s="49"/>
      <c r="B340" s="8">
        <v>4</v>
      </c>
      <c r="C340" s="8">
        <f t="shared" si="51"/>
        <v>2</v>
      </c>
      <c r="D340" s="16" t="s">
        <v>42</v>
      </c>
      <c r="E340" s="16" t="s">
        <v>43</v>
      </c>
      <c r="F340" s="17" t="s">
        <v>59</v>
      </c>
      <c r="G340" s="17" t="s">
        <v>37</v>
      </c>
      <c r="H340" s="17" t="s">
        <v>29</v>
      </c>
      <c r="I340" s="17" t="s">
        <v>136</v>
      </c>
      <c r="J340" s="8" t="s">
        <v>31</v>
      </c>
      <c r="K340" s="8" t="s">
        <v>31</v>
      </c>
      <c r="L340" s="8" t="s">
        <v>31</v>
      </c>
      <c r="M340" s="9">
        <v>54.2</v>
      </c>
      <c r="N340" s="9">
        <v>56.7</v>
      </c>
      <c r="O340" s="10">
        <f t="shared" si="53"/>
        <v>4.6125461254612548</v>
      </c>
      <c r="P340" s="11" t="s">
        <v>31</v>
      </c>
      <c r="Q340" s="11" t="s">
        <v>31</v>
      </c>
      <c r="R340" s="33" t="s">
        <v>31</v>
      </c>
      <c r="S340" s="37" t="e">
        <f t="shared" si="63"/>
        <v>#VALUE!</v>
      </c>
      <c r="T340" s="37" t="e">
        <f t="shared" si="64"/>
        <v>#VALUE!</v>
      </c>
      <c r="U340" s="42">
        <f t="shared" si="65"/>
        <v>2.7339992865383871</v>
      </c>
      <c r="V340" s="41">
        <f t="shared" si="66"/>
        <v>1.6639407221336506</v>
      </c>
      <c r="W340" s="43" t="e">
        <f t="shared" si="67"/>
        <v>#VALUE!</v>
      </c>
      <c r="X340" s="43" t="e">
        <f t="shared" si="68"/>
        <v>#VALUE!</v>
      </c>
    </row>
    <row r="341" spans="1:24" ht="14.25" customHeight="1">
      <c r="A341" s="45" t="s">
        <v>163</v>
      </c>
      <c r="B341" s="8">
        <v>1</v>
      </c>
      <c r="C341" s="8">
        <f t="shared" si="51"/>
        <v>0.5</v>
      </c>
      <c r="D341" s="16" t="s">
        <v>42</v>
      </c>
      <c r="E341" s="16" t="s">
        <v>148</v>
      </c>
      <c r="F341" s="17" t="s">
        <v>59</v>
      </c>
      <c r="G341" s="17" t="s">
        <v>37</v>
      </c>
      <c r="H341" s="17" t="s">
        <v>29</v>
      </c>
      <c r="I341" s="17" t="s">
        <v>161</v>
      </c>
      <c r="J341" s="8">
        <v>1.9950000000000001</v>
      </c>
      <c r="K341" s="8">
        <v>2.2389999999999999</v>
      </c>
      <c r="L341" s="8">
        <f t="shared" si="61"/>
        <v>12.230576441102745</v>
      </c>
      <c r="M341" s="9" t="s">
        <v>31</v>
      </c>
      <c r="N341" s="9" t="s">
        <v>31</v>
      </c>
      <c r="O341" s="9" t="s">
        <v>31</v>
      </c>
      <c r="P341" s="11" t="s">
        <v>31</v>
      </c>
      <c r="Q341" s="11" t="s">
        <v>31</v>
      </c>
      <c r="R341" s="33" t="s">
        <v>31</v>
      </c>
      <c r="S341" s="37">
        <f t="shared" si="63"/>
        <v>1.2999429000227671</v>
      </c>
      <c r="T341" s="37">
        <f t="shared" si="64"/>
        <v>2.0874469263159621</v>
      </c>
      <c r="U341" s="42" t="e">
        <f t="shared" si="65"/>
        <v>#VALUE!</v>
      </c>
      <c r="V341" s="41" t="e">
        <f t="shared" si="66"/>
        <v>#VALUE!</v>
      </c>
      <c r="W341" s="43" t="e">
        <f t="shared" si="67"/>
        <v>#VALUE!</v>
      </c>
      <c r="X341" s="43" t="e">
        <f t="shared" si="68"/>
        <v>#VALUE!</v>
      </c>
    </row>
    <row r="342" spans="1:24" ht="14.25" customHeight="1">
      <c r="A342" s="49"/>
      <c r="B342" s="8">
        <v>2</v>
      </c>
      <c r="C342" s="8">
        <f t="shared" si="51"/>
        <v>1</v>
      </c>
      <c r="D342" s="16" t="s">
        <v>42</v>
      </c>
      <c r="E342" s="16" t="s">
        <v>148</v>
      </c>
      <c r="F342" s="17" t="s">
        <v>59</v>
      </c>
      <c r="G342" s="17" t="s">
        <v>37</v>
      </c>
      <c r="H342" s="17" t="s">
        <v>29</v>
      </c>
      <c r="I342" s="17" t="s">
        <v>161</v>
      </c>
      <c r="J342" s="8">
        <v>1.9950000000000001</v>
      </c>
      <c r="K342" s="8">
        <v>2.0350000000000001</v>
      </c>
      <c r="L342" s="8">
        <f t="shared" si="61"/>
        <v>2.0050125313283225</v>
      </c>
      <c r="M342" s="9" t="s">
        <v>31</v>
      </c>
      <c r="N342" s="9" t="s">
        <v>31</v>
      </c>
      <c r="O342" s="9" t="s">
        <v>31</v>
      </c>
      <c r="P342" s="11" t="s">
        <v>31</v>
      </c>
      <c r="Q342" s="11" t="s">
        <v>31</v>
      </c>
      <c r="R342" s="33" t="s">
        <v>31</v>
      </c>
      <c r="S342" s="37">
        <f t="shared" si="63"/>
        <v>1.2999429000227671</v>
      </c>
      <c r="T342" s="37">
        <f t="shared" si="64"/>
        <v>1.3021170913051958</v>
      </c>
      <c r="U342" s="42" t="e">
        <f t="shared" si="65"/>
        <v>#VALUE!</v>
      </c>
      <c r="V342" s="41" t="e">
        <f t="shared" si="66"/>
        <v>#VALUE!</v>
      </c>
      <c r="W342" s="43" t="e">
        <f t="shared" si="67"/>
        <v>#VALUE!</v>
      </c>
      <c r="X342" s="43" t="e">
        <f t="shared" si="68"/>
        <v>#VALUE!</v>
      </c>
    </row>
    <row r="343" spans="1:24" ht="14.25" customHeight="1">
      <c r="A343" s="49"/>
      <c r="B343" s="8">
        <v>3</v>
      </c>
      <c r="C343" s="8">
        <f t="shared" si="51"/>
        <v>1.5</v>
      </c>
      <c r="D343" s="16" t="s">
        <v>42</v>
      </c>
      <c r="E343" s="16" t="s">
        <v>148</v>
      </c>
      <c r="F343" s="17" t="s">
        <v>59</v>
      </c>
      <c r="G343" s="17" t="s">
        <v>37</v>
      </c>
      <c r="H343" s="17" t="s">
        <v>29</v>
      </c>
      <c r="I343" s="17" t="s">
        <v>161</v>
      </c>
      <c r="J343" s="8">
        <v>1.9950000000000001</v>
      </c>
      <c r="K343" s="8">
        <v>2.1339999999999999</v>
      </c>
      <c r="L343" s="8">
        <f t="shared" si="61"/>
        <v>6.967418546365904</v>
      </c>
      <c r="M343" s="9" t="s">
        <v>31</v>
      </c>
      <c r="N343" s="9" t="s">
        <v>31</v>
      </c>
      <c r="O343" s="9" t="s">
        <v>31</v>
      </c>
      <c r="P343" s="11" t="s">
        <v>31</v>
      </c>
      <c r="Q343" s="11" t="s">
        <v>31</v>
      </c>
      <c r="R343" s="33" t="s">
        <v>31</v>
      </c>
      <c r="S343" s="37">
        <f t="shared" si="63"/>
        <v>1.2999429000227671</v>
      </c>
      <c r="T343" s="37">
        <f t="shared" si="64"/>
        <v>1.8430719002313274</v>
      </c>
      <c r="U343" s="42" t="e">
        <f t="shared" si="65"/>
        <v>#VALUE!</v>
      </c>
      <c r="V343" s="41" t="e">
        <f t="shared" si="66"/>
        <v>#VALUE!</v>
      </c>
      <c r="W343" s="43" t="e">
        <f t="shared" si="67"/>
        <v>#VALUE!</v>
      </c>
      <c r="X343" s="43" t="e">
        <f t="shared" si="68"/>
        <v>#VALUE!</v>
      </c>
    </row>
    <row r="344" spans="1:24" ht="14.25" customHeight="1">
      <c r="A344" s="45" t="s">
        <v>164</v>
      </c>
      <c r="B344" s="8">
        <v>2</v>
      </c>
      <c r="C344" s="8">
        <f t="shared" si="51"/>
        <v>1</v>
      </c>
      <c r="D344" s="16" t="s">
        <v>42</v>
      </c>
      <c r="E344" s="16" t="s">
        <v>43</v>
      </c>
      <c r="F344" s="17" t="s">
        <v>59</v>
      </c>
      <c r="G344" s="17" t="s">
        <v>28</v>
      </c>
      <c r="H344" s="17" t="s">
        <v>29</v>
      </c>
      <c r="I344" s="17" t="s">
        <v>36</v>
      </c>
      <c r="J344" s="8">
        <v>4.9000000000000004</v>
      </c>
      <c r="K344" s="8">
        <v>5.37</v>
      </c>
      <c r="L344" s="8">
        <f t="shared" si="61"/>
        <v>9.5918367346938727</v>
      </c>
      <c r="M344" s="9">
        <v>249</v>
      </c>
      <c r="N344" s="9">
        <v>270</v>
      </c>
      <c r="O344" s="10">
        <f t="shared" ref="O344:O407" si="69">(N344-M344)/M344*100</f>
        <v>8.4337349397590362</v>
      </c>
      <c r="P344" s="11" t="s">
        <v>31</v>
      </c>
      <c r="Q344" s="11" t="s">
        <v>31</v>
      </c>
      <c r="R344" s="33" t="s">
        <v>31</v>
      </c>
      <c r="S344" s="37">
        <f t="shared" si="63"/>
        <v>1.6901960800285136</v>
      </c>
      <c r="T344" s="37">
        <f t="shared" si="64"/>
        <v>1.9819017779072035</v>
      </c>
      <c r="U344" s="42">
        <f t="shared" si="65"/>
        <v>3.3961993470957363</v>
      </c>
      <c r="V344" s="41">
        <f t="shared" si="66"/>
        <v>1.926019947638183</v>
      </c>
      <c r="W344" s="43" t="e">
        <f t="shared" si="67"/>
        <v>#VALUE!</v>
      </c>
      <c r="X344" s="43" t="e">
        <f t="shared" si="68"/>
        <v>#VALUE!</v>
      </c>
    </row>
    <row r="345" spans="1:24" ht="14.25" customHeight="1">
      <c r="A345" s="49"/>
      <c r="B345" s="8">
        <v>4</v>
      </c>
      <c r="C345" s="8">
        <f t="shared" si="51"/>
        <v>2</v>
      </c>
      <c r="D345" s="16" t="s">
        <v>42</v>
      </c>
      <c r="E345" s="16" t="s">
        <v>43</v>
      </c>
      <c r="F345" s="17" t="s">
        <v>59</v>
      </c>
      <c r="G345" s="17" t="s">
        <v>28</v>
      </c>
      <c r="H345" s="17" t="s">
        <v>29</v>
      </c>
      <c r="I345" s="17" t="s">
        <v>36</v>
      </c>
      <c r="J345" s="8">
        <v>4.9000000000000004</v>
      </c>
      <c r="K345" s="8">
        <v>5.62</v>
      </c>
      <c r="L345" s="8">
        <f t="shared" si="61"/>
        <v>14.693877551020401</v>
      </c>
      <c r="M345" s="9">
        <v>249</v>
      </c>
      <c r="N345" s="9">
        <v>281</v>
      </c>
      <c r="O345" s="10">
        <f t="shared" si="69"/>
        <v>12.851405622489958</v>
      </c>
      <c r="P345" s="11" t="s">
        <v>31</v>
      </c>
      <c r="Q345" s="11" t="s">
        <v>31</v>
      </c>
      <c r="R345" s="33" t="s">
        <v>31</v>
      </c>
      <c r="S345" s="37">
        <f t="shared" si="63"/>
        <v>1.6901960800285136</v>
      </c>
      <c r="T345" s="37">
        <f t="shared" si="64"/>
        <v>2.1671364164027547</v>
      </c>
      <c r="U345" s="42">
        <f t="shared" si="65"/>
        <v>3.3961993470957363</v>
      </c>
      <c r="V345" s="41">
        <f t="shared" si="66"/>
        <v>2.1089506312241695</v>
      </c>
      <c r="W345" s="43" t="e">
        <f t="shared" si="67"/>
        <v>#VALUE!</v>
      </c>
      <c r="X345" s="43" t="e">
        <f t="shared" si="68"/>
        <v>#VALUE!</v>
      </c>
    </row>
    <row r="346" spans="1:24" ht="14.25" customHeight="1">
      <c r="A346" s="49"/>
      <c r="B346" s="8">
        <v>2</v>
      </c>
      <c r="C346" s="8">
        <f t="shared" si="51"/>
        <v>1</v>
      </c>
      <c r="D346" s="16" t="s">
        <v>42</v>
      </c>
      <c r="E346" s="16" t="s">
        <v>43</v>
      </c>
      <c r="F346" s="17" t="s">
        <v>59</v>
      </c>
      <c r="G346" s="17" t="s">
        <v>28</v>
      </c>
      <c r="H346" s="17" t="s">
        <v>29</v>
      </c>
      <c r="I346" s="17" t="s">
        <v>36</v>
      </c>
      <c r="J346" s="8">
        <v>5.35</v>
      </c>
      <c r="K346" s="8">
        <v>5.72</v>
      </c>
      <c r="L346" s="8">
        <f t="shared" si="61"/>
        <v>6.9158878504672918</v>
      </c>
      <c r="M346" s="9">
        <v>265</v>
      </c>
      <c r="N346" s="9">
        <v>283</v>
      </c>
      <c r="O346" s="10">
        <f t="shared" si="69"/>
        <v>6.7924528301886795</v>
      </c>
      <c r="P346" s="11" t="s">
        <v>31</v>
      </c>
      <c r="Q346" s="11" t="s">
        <v>31</v>
      </c>
      <c r="R346" s="33" t="s">
        <v>31</v>
      </c>
      <c r="S346" s="37">
        <f t="shared" si="63"/>
        <v>1.7283537820212285</v>
      </c>
      <c r="T346" s="37">
        <f t="shared" si="64"/>
        <v>1.8398479420457667</v>
      </c>
      <c r="U346" s="42">
        <f t="shared" si="65"/>
        <v>3.4232458739368079</v>
      </c>
      <c r="V346" s="41">
        <f t="shared" si="66"/>
        <v>1.8320266311664983</v>
      </c>
      <c r="W346" s="43" t="e">
        <f t="shared" si="67"/>
        <v>#VALUE!</v>
      </c>
      <c r="X346" s="43" t="e">
        <f t="shared" si="68"/>
        <v>#VALUE!</v>
      </c>
    </row>
    <row r="347" spans="1:24" ht="14.25" customHeight="1">
      <c r="A347" s="49"/>
      <c r="B347" s="8">
        <v>4</v>
      </c>
      <c r="C347" s="8">
        <f t="shared" si="51"/>
        <v>2</v>
      </c>
      <c r="D347" s="16" t="s">
        <v>42</v>
      </c>
      <c r="E347" s="16" t="s">
        <v>43</v>
      </c>
      <c r="F347" s="17" t="s">
        <v>59</v>
      </c>
      <c r="G347" s="17" t="s">
        <v>28</v>
      </c>
      <c r="H347" s="17" t="s">
        <v>29</v>
      </c>
      <c r="I347" s="17" t="s">
        <v>36</v>
      </c>
      <c r="J347" s="8">
        <v>5.35</v>
      </c>
      <c r="K347" s="8">
        <v>5.93</v>
      </c>
      <c r="L347" s="8">
        <f t="shared" si="61"/>
        <v>10.841121495327105</v>
      </c>
      <c r="M347" s="9">
        <v>265</v>
      </c>
      <c r="N347" s="9">
        <v>298</v>
      </c>
      <c r="O347" s="10">
        <f t="shared" si="69"/>
        <v>12.452830188679245</v>
      </c>
      <c r="P347" s="11" t="s">
        <v>31</v>
      </c>
      <c r="Q347" s="11" t="s">
        <v>31</v>
      </c>
      <c r="R347" s="33" t="s">
        <v>31</v>
      </c>
      <c r="S347" s="37">
        <f t="shared" si="63"/>
        <v>1.7283537820212285</v>
      </c>
      <c r="T347" s="37">
        <f t="shared" si="64"/>
        <v>2.0350742115417089</v>
      </c>
      <c r="U347" s="42">
        <f t="shared" si="65"/>
        <v>3.4232458739368079</v>
      </c>
      <c r="V347" s="41">
        <f t="shared" si="66"/>
        <v>2.0952680659410796</v>
      </c>
      <c r="W347" s="43" t="e">
        <f t="shared" si="67"/>
        <v>#VALUE!</v>
      </c>
      <c r="X347" s="43" t="e">
        <f t="shared" si="68"/>
        <v>#VALUE!</v>
      </c>
    </row>
    <row r="348" spans="1:24" ht="14.25" customHeight="1">
      <c r="A348" s="49"/>
      <c r="B348" s="8">
        <v>2</v>
      </c>
      <c r="C348" s="8">
        <f t="shared" si="51"/>
        <v>1</v>
      </c>
      <c r="D348" s="16" t="s">
        <v>42</v>
      </c>
      <c r="E348" s="16" t="s">
        <v>43</v>
      </c>
      <c r="F348" s="17" t="s">
        <v>59</v>
      </c>
      <c r="G348" s="17" t="s">
        <v>28</v>
      </c>
      <c r="H348" s="17" t="s">
        <v>29</v>
      </c>
      <c r="I348" s="17" t="s">
        <v>36</v>
      </c>
      <c r="J348" s="8">
        <v>5.75</v>
      </c>
      <c r="K348" s="8">
        <v>6.12</v>
      </c>
      <c r="L348" s="8">
        <f t="shared" ref="L348:L450" si="70">(K348-J348)/J348*100</f>
        <v>6.4347826086956532</v>
      </c>
      <c r="M348" s="9">
        <v>286</v>
      </c>
      <c r="N348" s="9">
        <v>297</v>
      </c>
      <c r="O348" s="10">
        <f t="shared" si="69"/>
        <v>3.8461538461538463</v>
      </c>
      <c r="P348" s="11" t="s">
        <v>31</v>
      </c>
      <c r="Q348" s="11" t="s">
        <v>31</v>
      </c>
      <c r="R348" s="33" t="s">
        <v>31</v>
      </c>
      <c r="S348" s="37">
        <f t="shared" si="63"/>
        <v>1.7596678446896306</v>
      </c>
      <c r="T348" s="37">
        <f t="shared" si="64"/>
        <v>1.8085338793773647</v>
      </c>
      <c r="U348" s="42">
        <f t="shared" si="65"/>
        <v>3.4563660331290431</v>
      </c>
      <c r="V348" s="41">
        <f t="shared" si="66"/>
        <v>1.585026652029182</v>
      </c>
      <c r="W348" s="43" t="e">
        <f t="shared" si="67"/>
        <v>#VALUE!</v>
      </c>
      <c r="X348" s="43" t="e">
        <f t="shared" si="68"/>
        <v>#VALUE!</v>
      </c>
    </row>
    <row r="349" spans="1:24" ht="14.25" customHeight="1">
      <c r="A349" s="50"/>
      <c r="B349" s="8">
        <v>4</v>
      </c>
      <c r="C349" s="8">
        <f t="shared" si="51"/>
        <v>2</v>
      </c>
      <c r="D349" s="16" t="s">
        <v>42</v>
      </c>
      <c r="E349" s="16" t="s">
        <v>43</v>
      </c>
      <c r="F349" s="17" t="s">
        <v>59</v>
      </c>
      <c r="G349" s="17" t="s">
        <v>28</v>
      </c>
      <c r="H349" s="17" t="s">
        <v>29</v>
      </c>
      <c r="I349" s="17" t="s">
        <v>36</v>
      </c>
      <c r="J349" s="8">
        <v>5.75</v>
      </c>
      <c r="K349" s="8">
        <v>6.31</v>
      </c>
      <c r="L349" s="8">
        <f t="shared" si="70"/>
        <v>9.7391304347826022</v>
      </c>
      <c r="M349" s="9">
        <v>286</v>
      </c>
      <c r="N349" s="9">
        <v>319</v>
      </c>
      <c r="O349" s="10">
        <f t="shared" si="69"/>
        <v>11.538461538461538</v>
      </c>
      <c r="P349" s="11" t="s">
        <v>31</v>
      </c>
      <c r="Q349" s="11" t="s">
        <v>31</v>
      </c>
      <c r="R349" s="33" t="s">
        <v>31</v>
      </c>
      <c r="S349" s="37">
        <f t="shared" si="63"/>
        <v>1.7596678446896306</v>
      </c>
      <c r="T349" s="37">
        <f t="shared" si="64"/>
        <v>1.9885201823165697</v>
      </c>
      <c r="U349" s="42">
        <f t="shared" si="65"/>
        <v>3.4563660331290431</v>
      </c>
      <c r="V349" s="41">
        <f t="shared" si="66"/>
        <v>2.0621479067488444</v>
      </c>
      <c r="W349" s="43" t="e">
        <f t="shared" si="67"/>
        <v>#VALUE!</v>
      </c>
      <c r="X349" s="43" t="e">
        <f t="shared" si="68"/>
        <v>#VALUE!</v>
      </c>
    </row>
    <row r="350" spans="1:24" ht="14.25" customHeight="1">
      <c r="A350" s="45" t="s">
        <v>165</v>
      </c>
      <c r="B350" s="8">
        <v>2</v>
      </c>
      <c r="C350" s="8">
        <f t="shared" si="51"/>
        <v>1</v>
      </c>
      <c r="D350" s="16" t="s">
        <v>42</v>
      </c>
      <c r="E350" s="16" t="s">
        <v>43</v>
      </c>
      <c r="F350" s="17" t="s">
        <v>59</v>
      </c>
      <c r="G350" s="17" t="s">
        <v>37</v>
      </c>
      <c r="H350" s="17" t="s">
        <v>29</v>
      </c>
      <c r="I350" s="17" t="s">
        <v>36</v>
      </c>
      <c r="J350" s="8" t="s">
        <v>31</v>
      </c>
      <c r="K350" s="8" t="s">
        <v>31</v>
      </c>
      <c r="L350" s="8" t="s">
        <v>31</v>
      </c>
      <c r="M350" s="9">
        <v>54</v>
      </c>
      <c r="N350" s="9">
        <v>56.8</v>
      </c>
      <c r="O350" s="10">
        <f t="shared" si="69"/>
        <v>5.1851851851851798</v>
      </c>
      <c r="P350" s="11" t="s">
        <v>31</v>
      </c>
      <c r="Q350" s="11" t="s">
        <v>31</v>
      </c>
      <c r="R350" s="33" t="s">
        <v>31</v>
      </c>
      <c r="S350" s="37" t="e">
        <f t="shared" si="63"/>
        <v>#VALUE!</v>
      </c>
      <c r="T350" s="37" t="e">
        <f t="shared" si="64"/>
        <v>#VALUE!</v>
      </c>
      <c r="U350" s="42">
        <f t="shared" si="65"/>
        <v>2.7323937598229686</v>
      </c>
      <c r="V350" s="41">
        <f t="shared" si="66"/>
        <v>1.7147642715192504</v>
      </c>
      <c r="W350" s="43" t="e">
        <f t="shared" si="67"/>
        <v>#VALUE!</v>
      </c>
      <c r="X350" s="43" t="e">
        <f t="shared" si="68"/>
        <v>#VALUE!</v>
      </c>
    </row>
    <row r="351" spans="1:24" ht="14.25" customHeight="1">
      <c r="A351" s="49"/>
      <c r="B351" s="8">
        <v>4</v>
      </c>
      <c r="C351" s="8">
        <f t="shared" si="51"/>
        <v>2</v>
      </c>
      <c r="D351" s="16" t="s">
        <v>42</v>
      </c>
      <c r="E351" s="16" t="s">
        <v>43</v>
      </c>
      <c r="F351" s="17" t="s">
        <v>59</v>
      </c>
      <c r="G351" s="17" t="s">
        <v>37</v>
      </c>
      <c r="H351" s="17" t="s">
        <v>29</v>
      </c>
      <c r="I351" s="17" t="s">
        <v>36</v>
      </c>
      <c r="J351" s="8" t="s">
        <v>31</v>
      </c>
      <c r="K351" s="8" t="s">
        <v>31</v>
      </c>
      <c r="L351" s="8" t="s">
        <v>31</v>
      </c>
      <c r="M351" s="9">
        <v>54</v>
      </c>
      <c r="N351" s="9">
        <v>57.4</v>
      </c>
      <c r="O351" s="10">
        <f t="shared" si="69"/>
        <v>6.2962962962962941</v>
      </c>
      <c r="P351" s="11" t="s">
        <v>31</v>
      </c>
      <c r="Q351" s="11" t="s">
        <v>31</v>
      </c>
      <c r="R351" s="33" t="s">
        <v>31</v>
      </c>
      <c r="S351" s="37" t="e">
        <f t="shared" si="63"/>
        <v>#VALUE!</v>
      </c>
      <c r="T351" s="37" t="e">
        <f t="shared" si="64"/>
        <v>#VALUE!</v>
      </c>
      <c r="U351" s="42">
        <f t="shared" si="65"/>
        <v>2.7323937598229686</v>
      </c>
      <c r="V351" s="41">
        <f t="shared" si="66"/>
        <v>1.7990851572192865</v>
      </c>
      <c r="W351" s="43" t="e">
        <f t="shared" si="67"/>
        <v>#VALUE!</v>
      </c>
      <c r="X351" s="43" t="e">
        <f t="shared" si="68"/>
        <v>#VALUE!</v>
      </c>
    </row>
    <row r="352" spans="1:24" ht="14.25" customHeight="1">
      <c r="A352" s="50"/>
      <c r="B352" s="8">
        <v>5</v>
      </c>
      <c r="C352" s="8">
        <f t="shared" si="51"/>
        <v>2.5</v>
      </c>
      <c r="D352" s="16" t="s">
        <v>42</v>
      </c>
      <c r="E352" s="16" t="s">
        <v>43</v>
      </c>
      <c r="F352" s="17" t="s">
        <v>59</v>
      </c>
      <c r="G352" s="17" t="s">
        <v>37</v>
      </c>
      <c r="H352" s="17" t="s">
        <v>29</v>
      </c>
      <c r="I352" s="17" t="s">
        <v>36</v>
      </c>
      <c r="J352" s="8" t="s">
        <v>31</v>
      </c>
      <c r="K352" s="8" t="s">
        <v>31</v>
      </c>
      <c r="L352" s="8" t="s">
        <v>31</v>
      </c>
      <c r="M352" s="9">
        <v>54</v>
      </c>
      <c r="N352" s="9">
        <v>54.9</v>
      </c>
      <c r="O352" s="10">
        <f t="shared" si="69"/>
        <v>1.6666666666666639</v>
      </c>
      <c r="P352" s="11" t="s">
        <v>31</v>
      </c>
      <c r="Q352" s="11" t="s">
        <v>31</v>
      </c>
      <c r="R352" s="33" t="s">
        <v>31</v>
      </c>
      <c r="S352" s="37" t="e">
        <f t="shared" si="63"/>
        <v>#VALUE!</v>
      </c>
      <c r="T352" s="37" t="e">
        <f t="shared" si="64"/>
        <v>#VALUE!</v>
      </c>
      <c r="U352" s="42">
        <f t="shared" si="65"/>
        <v>2.7323937598229686</v>
      </c>
      <c r="V352" s="41">
        <f t="shared" si="66"/>
        <v>1.2218487496163557</v>
      </c>
      <c r="W352" s="43" t="e">
        <f t="shared" si="67"/>
        <v>#VALUE!</v>
      </c>
      <c r="X352" s="43" t="e">
        <f t="shared" si="68"/>
        <v>#VALUE!</v>
      </c>
    </row>
    <row r="353" spans="1:24" ht="14.25" customHeight="1">
      <c r="A353" s="45" t="s">
        <v>166</v>
      </c>
      <c r="B353" s="8">
        <v>1</v>
      </c>
      <c r="C353" s="8">
        <f t="shared" si="51"/>
        <v>0.5</v>
      </c>
      <c r="D353" s="16" t="s">
        <v>42</v>
      </c>
      <c r="E353" s="16" t="s">
        <v>43</v>
      </c>
      <c r="F353" s="17" t="s">
        <v>59</v>
      </c>
      <c r="G353" s="17" t="s">
        <v>37</v>
      </c>
      <c r="H353" s="17" t="s">
        <v>29</v>
      </c>
      <c r="I353" s="17" t="s">
        <v>36</v>
      </c>
      <c r="J353" s="8">
        <v>7.1</v>
      </c>
      <c r="K353" s="8">
        <v>7.7</v>
      </c>
      <c r="L353" s="8">
        <f t="shared" si="70"/>
        <v>8.450704225352121</v>
      </c>
      <c r="M353" s="9">
        <v>270</v>
      </c>
      <c r="N353" s="9">
        <v>288</v>
      </c>
      <c r="O353" s="10">
        <f t="shared" si="69"/>
        <v>6.666666666666667</v>
      </c>
      <c r="P353" s="11" t="s">
        <v>31</v>
      </c>
      <c r="Q353" s="11" t="s">
        <v>31</v>
      </c>
      <c r="R353" s="33" t="s">
        <v>31</v>
      </c>
      <c r="S353" s="37">
        <f t="shared" si="63"/>
        <v>1.8512583487190752</v>
      </c>
      <c r="T353" s="37">
        <f t="shared" si="64"/>
        <v>1.9268929016645688</v>
      </c>
      <c r="U353" s="42">
        <f t="shared" si="65"/>
        <v>3.4313637641589874</v>
      </c>
      <c r="V353" s="41">
        <f t="shared" si="66"/>
        <v>1.8239087409443189</v>
      </c>
      <c r="W353" s="43" t="e">
        <f t="shared" si="67"/>
        <v>#VALUE!</v>
      </c>
      <c r="X353" s="43" t="e">
        <f t="shared" si="68"/>
        <v>#VALUE!</v>
      </c>
    </row>
    <row r="354" spans="1:24" ht="14.25" customHeight="1">
      <c r="A354" s="49"/>
      <c r="B354" s="8">
        <v>3</v>
      </c>
      <c r="C354" s="8">
        <f t="shared" si="51"/>
        <v>1.5</v>
      </c>
      <c r="D354" s="16" t="s">
        <v>42</v>
      </c>
      <c r="E354" s="16" t="s">
        <v>43</v>
      </c>
      <c r="F354" s="17" t="s">
        <v>59</v>
      </c>
      <c r="G354" s="17" t="s">
        <v>37</v>
      </c>
      <c r="H354" s="17" t="s">
        <v>29</v>
      </c>
      <c r="I354" s="17" t="s">
        <v>36</v>
      </c>
      <c r="J354" s="8">
        <v>7.1</v>
      </c>
      <c r="K354" s="8">
        <v>8.1</v>
      </c>
      <c r="L354" s="8">
        <f t="shared" si="70"/>
        <v>14.084507042253522</v>
      </c>
      <c r="M354" s="9">
        <v>270</v>
      </c>
      <c r="N354" s="9">
        <v>315</v>
      </c>
      <c r="O354" s="10">
        <f t="shared" si="69"/>
        <v>16.666666666666664</v>
      </c>
      <c r="P354" s="11" t="s">
        <v>31</v>
      </c>
      <c r="Q354" s="11" t="s">
        <v>31</v>
      </c>
      <c r="R354" s="33" t="s">
        <v>31</v>
      </c>
      <c r="S354" s="37">
        <f t="shared" si="63"/>
        <v>1.8512583487190752</v>
      </c>
      <c r="T354" s="37">
        <f t="shared" si="64"/>
        <v>2.148741651280925</v>
      </c>
      <c r="U354" s="42">
        <f t="shared" si="65"/>
        <v>3.4313637641589874</v>
      </c>
      <c r="V354" s="41">
        <f t="shared" si="66"/>
        <v>2.2218487496163561</v>
      </c>
      <c r="W354" s="43" t="e">
        <f t="shared" si="67"/>
        <v>#VALUE!</v>
      </c>
      <c r="X354" s="43" t="e">
        <f t="shared" si="68"/>
        <v>#VALUE!</v>
      </c>
    </row>
    <row r="355" spans="1:24" ht="14.25" customHeight="1">
      <c r="A355" s="49"/>
      <c r="B355" s="8">
        <v>5</v>
      </c>
      <c r="C355" s="8">
        <f t="shared" si="51"/>
        <v>2.5</v>
      </c>
      <c r="D355" s="16" t="s">
        <v>42</v>
      </c>
      <c r="E355" s="16" t="s">
        <v>43</v>
      </c>
      <c r="F355" s="17" t="s">
        <v>59</v>
      </c>
      <c r="G355" s="17" t="s">
        <v>37</v>
      </c>
      <c r="H355" s="17" t="s">
        <v>29</v>
      </c>
      <c r="I355" s="17" t="s">
        <v>36</v>
      </c>
      <c r="J355" s="8">
        <v>7.1</v>
      </c>
      <c r="K355" s="8">
        <v>9.3000000000000007</v>
      </c>
      <c r="L355" s="8">
        <f t="shared" si="70"/>
        <v>30.985915492957762</v>
      </c>
      <c r="M355" s="9">
        <v>270</v>
      </c>
      <c r="N355" s="9">
        <v>353</v>
      </c>
      <c r="O355" s="10">
        <f t="shared" si="69"/>
        <v>30.74074074074074</v>
      </c>
      <c r="P355" s="11" t="s">
        <v>31</v>
      </c>
      <c r="Q355" s="11" t="s">
        <v>31</v>
      </c>
      <c r="R355" s="33" t="s">
        <v>31</v>
      </c>
      <c r="S355" s="37">
        <f t="shared" si="63"/>
        <v>1.8512583487190752</v>
      </c>
      <c r="T355" s="37">
        <f t="shared" si="64"/>
        <v>2.4911643321031312</v>
      </c>
      <c r="U355" s="42">
        <f t="shared" si="65"/>
        <v>3.4313637641589874</v>
      </c>
      <c r="V355" s="41">
        <f t="shared" si="66"/>
        <v>2.4877143282170864</v>
      </c>
      <c r="W355" s="43" t="e">
        <f t="shared" si="67"/>
        <v>#VALUE!</v>
      </c>
      <c r="X355" s="43" t="e">
        <f t="shared" si="68"/>
        <v>#VALUE!</v>
      </c>
    </row>
    <row r="356" spans="1:24" ht="14.25" customHeight="1">
      <c r="A356" s="50"/>
      <c r="B356" s="8">
        <v>7</v>
      </c>
      <c r="C356" s="8">
        <f t="shared" si="51"/>
        <v>3.5</v>
      </c>
      <c r="D356" s="16" t="s">
        <v>42</v>
      </c>
      <c r="E356" s="16" t="s">
        <v>43</v>
      </c>
      <c r="F356" s="17" t="s">
        <v>59</v>
      </c>
      <c r="G356" s="17" t="s">
        <v>37</v>
      </c>
      <c r="H356" s="17" t="s">
        <v>29</v>
      </c>
      <c r="I356" s="17" t="s">
        <v>36</v>
      </c>
      <c r="J356" s="8">
        <v>7.1</v>
      </c>
      <c r="K356" s="8">
        <v>8.1</v>
      </c>
      <c r="L356" s="8">
        <f t="shared" si="70"/>
        <v>14.084507042253522</v>
      </c>
      <c r="M356" s="9">
        <v>270</v>
      </c>
      <c r="N356" s="9">
        <v>302</v>
      </c>
      <c r="O356" s="10">
        <f t="shared" si="69"/>
        <v>11.851851851851853</v>
      </c>
      <c r="P356" s="11" t="s">
        <v>31</v>
      </c>
      <c r="Q356" s="11" t="s">
        <v>31</v>
      </c>
      <c r="R356" s="33" t="s">
        <v>31</v>
      </c>
      <c r="S356" s="37">
        <f t="shared" si="63"/>
        <v>1.8512583487190752</v>
      </c>
      <c r="T356" s="37">
        <f t="shared" si="64"/>
        <v>2.148741651280925</v>
      </c>
      <c r="U356" s="42">
        <f t="shared" si="65"/>
        <v>3.4313637641589874</v>
      </c>
      <c r="V356" s="41">
        <f t="shared" si="66"/>
        <v>2.0737862141609189</v>
      </c>
      <c r="W356" s="43" t="e">
        <f t="shared" si="67"/>
        <v>#VALUE!</v>
      </c>
      <c r="X356" s="43" t="e">
        <f t="shared" si="68"/>
        <v>#VALUE!</v>
      </c>
    </row>
    <row r="357" spans="1:24" ht="14.25" customHeight="1">
      <c r="A357" s="45" t="s">
        <v>167</v>
      </c>
      <c r="B357" s="8">
        <v>4.3</v>
      </c>
      <c r="C357" s="8">
        <f t="shared" si="51"/>
        <v>2.15</v>
      </c>
      <c r="D357" s="16" t="s">
        <v>42</v>
      </c>
      <c r="E357" s="16" t="s">
        <v>129</v>
      </c>
      <c r="F357" s="17" t="s">
        <v>112</v>
      </c>
      <c r="G357" s="17" t="s">
        <v>52</v>
      </c>
      <c r="H357" s="17" t="s">
        <v>29</v>
      </c>
      <c r="I357" s="17" t="s">
        <v>51</v>
      </c>
      <c r="J357" s="8">
        <v>9.3000000000000007</v>
      </c>
      <c r="K357" s="8">
        <v>9.3000000000000007</v>
      </c>
      <c r="L357" s="8">
        <f t="shared" si="70"/>
        <v>0</v>
      </c>
      <c r="M357" s="9">
        <v>274</v>
      </c>
      <c r="N357" s="9">
        <v>274</v>
      </c>
      <c r="O357" s="10">
        <f t="shared" si="69"/>
        <v>0</v>
      </c>
      <c r="P357" s="11" t="s">
        <v>31</v>
      </c>
      <c r="Q357" s="11" t="s">
        <v>31</v>
      </c>
      <c r="R357" s="33" t="s">
        <v>31</v>
      </c>
      <c r="S357" s="37">
        <f t="shared" si="63"/>
        <v>1.968482948553935</v>
      </c>
      <c r="T357" s="37" t="e">
        <f t="shared" si="64"/>
        <v>#NUM!</v>
      </c>
      <c r="U357" s="42">
        <f t="shared" si="65"/>
        <v>3.4377505628203879</v>
      </c>
      <c r="V357" s="41" t="e">
        <f t="shared" si="66"/>
        <v>#NUM!</v>
      </c>
      <c r="W357" s="43" t="e">
        <f t="shared" si="67"/>
        <v>#VALUE!</v>
      </c>
      <c r="X357" s="43" t="e">
        <f t="shared" si="68"/>
        <v>#VALUE!</v>
      </c>
    </row>
    <row r="358" spans="1:24" ht="14.25" customHeight="1">
      <c r="A358" s="49"/>
      <c r="B358" s="8">
        <v>4.3</v>
      </c>
      <c r="C358" s="8">
        <f t="shared" si="51"/>
        <v>2.15</v>
      </c>
      <c r="D358" s="16" t="s">
        <v>42</v>
      </c>
      <c r="E358" s="16" t="s">
        <v>129</v>
      </c>
      <c r="F358" s="17" t="s">
        <v>59</v>
      </c>
      <c r="G358" s="17" t="s">
        <v>37</v>
      </c>
      <c r="H358" s="17" t="s">
        <v>29</v>
      </c>
      <c r="I358" s="17" t="s">
        <v>51</v>
      </c>
      <c r="J358" s="8">
        <v>9.3000000000000007</v>
      </c>
      <c r="K358" s="8">
        <v>10</v>
      </c>
      <c r="L358" s="8">
        <f t="shared" si="70"/>
        <v>7.5268817204300991</v>
      </c>
      <c r="M358" s="9">
        <v>274</v>
      </c>
      <c r="N358" s="9">
        <v>279</v>
      </c>
      <c r="O358" s="10">
        <f t="shared" si="69"/>
        <v>1.824817518248175</v>
      </c>
      <c r="P358" s="11" t="s">
        <v>31</v>
      </c>
      <c r="Q358" s="11" t="s">
        <v>31</v>
      </c>
      <c r="R358" s="33" t="s">
        <v>31</v>
      </c>
      <c r="S358" s="37">
        <f t="shared" si="63"/>
        <v>1.968482948553935</v>
      </c>
      <c r="T358" s="37">
        <f t="shared" si="64"/>
        <v>1.8766150914603212</v>
      </c>
      <c r="U358" s="42">
        <f t="shared" si="65"/>
        <v>3.4377505628203879</v>
      </c>
      <c r="V358" s="41">
        <f t="shared" si="66"/>
        <v>1.2612194415156308</v>
      </c>
      <c r="W358" s="43" t="e">
        <f t="shared" si="67"/>
        <v>#VALUE!</v>
      </c>
      <c r="X358" s="43" t="e">
        <f t="shared" si="68"/>
        <v>#VALUE!</v>
      </c>
    </row>
    <row r="359" spans="1:24" ht="14.25" customHeight="1">
      <c r="A359" s="50"/>
      <c r="B359" s="8">
        <v>4.3</v>
      </c>
      <c r="C359" s="8">
        <f t="shared" si="51"/>
        <v>2.15</v>
      </c>
      <c r="D359" s="16" t="s">
        <v>42</v>
      </c>
      <c r="E359" s="16" t="s">
        <v>129</v>
      </c>
      <c r="F359" s="17" t="s">
        <v>59</v>
      </c>
      <c r="G359" s="17" t="s">
        <v>28</v>
      </c>
      <c r="H359" s="17" t="s">
        <v>29</v>
      </c>
      <c r="I359" s="17" t="s">
        <v>51</v>
      </c>
      <c r="J359" s="8">
        <v>9.3000000000000007</v>
      </c>
      <c r="K359" s="8">
        <v>9.6</v>
      </c>
      <c r="L359" s="8">
        <f t="shared" si="70"/>
        <v>3.2258064516128915</v>
      </c>
      <c r="M359" s="9">
        <v>274</v>
      </c>
      <c r="N359" s="9">
        <v>261</v>
      </c>
      <c r="O359" s="10">
        <f t="shared" si="69"/>
        <v>-4.7445255474452548</v>
      </c>
      <c r="P359" s="11" t="s">
        <v>31</v>
      </c>
      <c r="Q359" s="11" t="s">
        <v>31</v>
      </c>
      <c r="R359" s="33" t="s">
        <v>31</v>
      </c>
      <c r="S359" s="37">
        <f t="shared" si="63"/>
        <v>1.968482948553935</v>
      </c>
      <c r="T359" s="37">
        <f t="shared" si="64"/>
        <v>1.5086383061657256</v>
      </c>
      <c r="U359" s="42">
        <f t="shared" si="65"/>
        <v>3.4377505628203879</v>
      </c>
      <c r="V359" s="41" t="e">
        <f t="shared" si="66"/>
        <v>#NUM!</v>
      </c>
      <c r="W359" s="43" t="e">
        <f t="shared" si="67"/>
        <v>#VALUE!</v>
      </c>
      <c r="X359" s="43" t="e">
        <f t="shared" si="68"/>
        <v>#VALUE!</v>
      </c>
    </row>
    <row r="360" spans="1:24" ht="14.25" customHeight="1">
      <c r="A360" s="45" t="s">
        <v>168</v>
      </c>
      <c r="B360" s="8">
        <v>2</v>
      </c>
      <c r="C360" s="8">
        <f t="shared" si="51"/>
        <v>1</v>
      </c>
      <c r="D360" s="16" t="s">
        <v>42</v>
      </c>
      <c r="E360" s="16" t="s">
        <v>43</v>
      </c>
      <c r="F360" s="17" t="s">
        <v>59</v>
      </c>
      <c r="G360" s="17" t="s">
        <v>28</v>
      </c>
      <c r="H360" s="17" t="s">
        <v>29</v>
      </c>
      <c r="I360" s="17" t="s">
        <v>36</v>
      </c>
      <c r="J360" s="8">
        <v>1.44</v>
      </c>
      <c r="K360" s="8">
        <v>1.73</v>
      </c>
      <c r="L360" s="8">
        <f t="shared" si="70"/>
        <v>20.138888888888893</v>
      </c>
      <c r="M360" s="9">
        <v>47.5</v>
      </c>
      <c r="N360" s="9">
        <v>31.56</v>
      </c>
      <c r="O360" s="10">
        <f t="shared" si="69"/>
        <v>-33.557894736842108</v>
      </c>
      <c r="P360" s="11">
        <v>10.39</v>
      </c>
      <c r="Q360" s="11">
        <v>10.5</v>
      </c>
      <c r="R360" s="33">
        <f t="shared" ref="R360:R362" si="71">((Q360-P360)/P360)*100</f>
        <v>1.0587102983638057</v>
      </c>
      <c r="S360" s="37">
        <f t="shared" si="63"/>
        <v>1.1583624920952496</v>
      </c>
      <c r="T360" s="37">
        <f t="shared" si="64"/>
        <v>2.3040355058037063</v>
      </c>
      <c r="U360" s="42">
        <f t="shared" si="65"/>
        <v>2.6766936096248664</v>
      </c>
      <c r="V360" s="41" t="e">
        <f t="shared" si="66"/>
        <v>#NUM!</v>
      </c>
      <c r="W360" s="43">
        <f t="shared" si="67"/>
        <v>2.0166155475571776</v>
      </c>
      <c r="X360" s="43">
        <f t="shared" si="68"/>
        <v>1.0247771376010453</v>
      </c>
    </row>
    <row r="361" spans="1:24" ht="14.25" customHeight="1">
      <c r="A361" s="49"/>
      <c r="B361" s="8">
        <v>5</v>
      </c>
      <c r="C361" s="8">
        <f t="shared" si="51"/>
        <v>2.5</v>
      </c>
      <c r="D361" s="16" t="s">
        <v>42</v>
      </c>
      <c r="E361" s="16" t="s">
        <v>43</v>
      </c>
      <c r="F361" s="17" t="s">
        <v>59</v>
      </c>
      <c r="G361" s="17" t="s">
        <v>28</v>
      </c>
      <c r="H361" s="17" t="s">
        <v>29</v>
      </c>
      <c r="I361" s="17" t="s">
        <v>36</v>
      </c>
      <c r="J361" s="8">
        <v>1.44</v>
      </c>
      <c r="K361" s="8">
        <v>1.9</v>
      </c>
      <c r="L361" s="8">
        <f t="shared" si="70"/>
        <v>31.944444444444443</v>
      </c>
      <c r="M361" s="9">
        <v>47.5</v>
      </c>
      <c r="N361" s="9">
        <v>37.950000000000003</v>
      </c>
      <c r="O361" s="10">
        <f t="shared" si="69"/>
        <v>-20.105263157894733</v>
      </c>
      <c r="P361" s="11">
        <v>10.39</v>
      </c>
      <c r="Q361" s="11">
        <v>11.3</v>
      </c>
      <c r="R361" s="33">
        <f>((Q361-P361)/P361)*100</f>
        <v>8.7584215591915324</v>
      </c>
      <c r="S361" s="37">
        <f t="shared" si="63"/>
        <v>1.1583624920952496</v>
      </c>
      <c r="T361" s="37">
        <f t="shared" si="64"/>
        <v>2.5043953395863245</v>
      </c>
      <c r="U361" s="42">
        <f t="shared" si="65"/>
        <v>2.6766936096248664</v>
      </c>
      <c r="V361" s="41" t="e">
        <f t="shared" si="66"/>
        <v>#NUM!</v>
      </c>
      <c r="W361" s="43">
        <f t="shared" si="67"/>
        <v>2.0166155475571776</v>
      </c>
      <c r="X361" s="43">
        <f t="shared" si="68"/>
        <v>1.9424258447639162</v>
      </c>
    </row>
    <row r="362" spans="1:24" ht="14.25" customHeight="1">
      <c r="A362" s="50"/>
      <c r="B362" s="8">
        <v>7</v>
      </c>
      <c r="C362" s="8">
        <f t="shared" si="51"/>
        <v>3.5</v>
      </c>
      <c r="D362" s="16" t="s">
        <v>42</v>
      </c>
      <c r="E362" s="16" t="s">
        <v>43</v>
      </c>
      <c r="F362" s="17" t="s">
        <v>59</v>
      </c>
      <c r="G362" s="17" t="s">
        <v>28</v>
      </c>
      <c r="H362" s="17" t="s">
        <v>29</v>
      </c>
      <c r="I362" s="17" t="s">
        <v>36</v>
      </c>
      <c r="J362" s="8">
        <v>1.44</v>
      </c>
      <c r="K362" s="8">
        <v>2.09</v>
      </c>
      <c r="L362" s="8">
        <f t="shared" si="70"/>
        <v>45.138888888888886</v>
      </c>
      <c r="M362" s="9">
        <v>47.5</v>
      </c>
      <c r="N362" s="9">
        <v>33.79</v>
      </c>
      <c r="O362" s="10">
        <f t="shared" si="69"/>
        <v>-28.863157894736847</v>
      </c>
      <c r="P362" s="11">
        <v>10.39</v>
      </c>
      <c r="Q362" s="11">
        <v>9.35</v>
      </c>
      <c r="R362" s="33">
        <f t="shared" si="71"/>
        <v>-10.009624639076042</v>
      </c>
      <c r="S362" s="37">
        <f t="shared" si="63"/>
        <v>1.1583624920952496</v>
      </c>
      <c r="T362" s="37">
        <f t="shared" si="64"/>
        <v>2.6545508645476059</v>
      </c>
      <c r="U362" s="42">
        <f t="shared" si="65"/>
        <v>2.6766936096248664</v>
      </c>
      <c r="V362" s="41" t="e">
        <f t="shared" si="66"/>
        <v>#NUM!</v>
      </c>
      <c r="W362" s="43">
        <f t="shared" si="67"/>
        <v>2.0166155475571776</v>
      </c>
      <c r="X362" s="43" t="e">
        <f t="shared" si="68"/>
        <v>#NUM!</v>
      </c>
    </row>
    <row r="363" spans="1:24" ht="14.25" customHeight="1">
      <c r="A363" s="45" t="s">
        <v>169</v>
      </c>
      <c r="B363" s="8">
        <v>2.5</v>
      </c>
      <c r="C363" s="8">
        <f t="shared" si="51"/>
        <v>1.25</v>
      </c>
      <c r="D363" s="16" t="s">
        <v>42</v>
      </c>
      <c r="E363" s="16" t="s">
        <v>148</v>
      </c>
      <c r="F363" s="17" t="s">
        <v>59</v>
      </c>
      <c r="G363" s="17" t="s">
        <v>170</v>
      </c>
      <c r="H363" s="17" t="s">
        <v>29</v>
      </c>
      <c r="I363" s="17" t="s">
        <v>161</v>
      </c>
      <c r="J363" s="8">
        <v>2.0299999999999998</v>
      </c>
      <c r="K363" s="8">
        <v>2.5499999999999998</v>
      </c>
      <c r="L363" s="8">
        <f t="shared" si="70"/>
        <v>25.615763546798032</v>
      </c>
      <c r="M363" s="9" t="s">
        <v>31</v>
      </c>
      <c r="N363" s="9" t="s">
        <v>31</v>
      </c>
      <c r="O363" s="10" t="s">
        <v>31</v>
      </c>
      <c r="P363" s="11" t="s">
        <v>31</v>
      </c>
      <c r="Q363" s="11" t="s">
        <v>31</v>
      </c>
      <c r="R363" s="33" t="s">
        <v>31</v>
      </c>
      <c r="S363" s="37">
        <f t="shared" si="63"/>
        <v>1.3074960379132128</v>
      </c>
      <c r="T363" s="37">
        <f t="shared" si="64"/>
        <v>2.4085073057215864</v>
      </c>
      <c r="U363" s="42" t="e">
        <f t="shared" si="65"/>
        <v>#VALUE!</v>
      </c>
      <c r="V363" s="41" t="e">
        <f t="shared" si="66"/>
        <v>#VALUE!</v>
      </c>
      <c r="W363" s="43" t="e">
        <f t="shared" si="67"/>
        <v>#VALUE!</v>
      </c>
      <c r="X363" s="43" t="e">
        <f t="shared" si="68"/>
        <v>#VALUE!</v>
      </c>
    </row>
    <row r="364" spans="1:24" ht="14.25" customHeight="1">
      <c r="A364" s="50"/>
      <c r="B364" s="8">
        <v>5</v>
      </c>
      <c r="C364" s="8">
        <f t="shared" si="51"/>
        <v>2.5</v>
      </c>
      <c r="D364" s="16" t="s">
        <v>42</v>
      </c>
      <c r="E364" s="16" t="s">
        <v>148</v>
      </c>
      <c r="F364" s="17" t="s">
        <v>59</v>
      </c>
      <c r="G364" s="17" t="s">
        <v>28</v>
      </c>
      <c r="H364" s="17" t="s">
        <v>29</v>
      </c>
      <c r="I364" s="17" t="s">
        <v>161</v>
      </c>
      <c r="J364" s="8">
        <v>2.0299999999999998</v>
      </c>
      <c r="K364" s="8">
        <v>3.1</v>
      </c>
      <c r="L364" s="8">
        <f t="shared" si="70"/>
        <v>52.709359605911352</v>
      </c>
      <c r="M364" s="9" t="s">
        <v>31</v>
      </c>
      <c r="N364" s="9" t="s">
        <v>31</v>
      </c>
      <c r="O364" s="10" t="s">
        <v>31</v>
      </c>
      <c r="P364" s="11" t="s">
        <v>31</v>
      </c>
      <c r="Q364" s="11" t="s">
        <v>31</v>
      </c>
      <c r="R364" s="33" t="s">
        <v>31</v>
      </c>
      <c r="S364" s="37">
        <f t="shared" si="63"/>
        <v>1.3074960379132128</v>
      </c>
      <c r="T364" s="37">
        <f t="shared" si="64"/>
        <v>2.7218877397719972</v>
      </c>
      <c r="U364" s="42" t="e">
        <f t="shared" si="65"/>
        <v>#VALUE!</v>
      </c>
      <c r="V364" s="41" t="e">
        <f t="shared" si="66"/>
        <v>#VALUE!</v>
      </c>
      <c r="W364" s="43" t="e">
        <f t="shared" si="67"/>
        <v>#VALUE!</v>
      </c>
      <c r="X364" s="43" t="e">
        <f t="shared" si="68"/>
        <v>#VALUE!</v>
      </c>
    </row>
    <row r="365" spans="1:24" ht="14.25" customHeight="1">
      <c r="A365" s="45" t="s">
        <v>171</v>
      </c>
      <c r="B365" s="8">
        <v>1.5</v>
      </c>
      <c r="C365" s="8">
        <f t="shared" si="51"/>
        <v>0.75</v>
      </c>
      <c r="D365" s="16" t="s">
        <v>25</v>
      </c>
      <c r="E365" s="16" t="s">
        <v>74</v>
      </c>
      <c r="F365" s="17" t="s">
        <v>59</v>
      </c>
      <c r="G365" s="17" t="s">
        <v>28</v>
      </c>
      <c r="H365" s="17" t="s">
        <v>29</v>
      </c>
      <c r="I365" s="17" t="s">
        <v>36</v>
      </c>
      <c r="J365" s="8">
        <v>1.1100000000000001</v>
      </c>
      <c r="K365" s="8">
        <v>1.43</v>
      </c>
      <c r="L365" s="8">
        <f t="shared" si="70"/>
        <v>28.828828828828811</v>
      </c>
      <c r="M365" s="9">
        <v>68.599999999999994</v>
      </c>
      <c r="N365" s="9">
        <v>76.400000000000006</v>
      </c>
      <c r="O365" s="10">
        <f t="shared" si="69"/>
        <v>11.370262390670572</v>
      </c>
      <c r="P365" s="11" t="s">
        <v>31</v>
      </c>
      <c r="Q365" s="11" t="s">
        <v>31</v>
      </c>
      <c r="R365" s="33" t="s">
        <v>31</v>
      </c>
      <c r="S365" s="37">
        <f t="shared" si="63"/>
        <v>1.0453229787866576</v>
      </c>
      <c r="T365" s="37">
        <f t="shared" si="64"/>
        <v>2.4598269995332482</v>
      </c>
      <c r="U365" s="42">
        <f t="shared" si="65"/>
        <v>2.8363241157067516</v>
      </c>
      <c r="V365" s="41">
        <f t="shared" si="66"/>
        <v>2.0557704869837292</v>
      </c>
      <c r="W365" s="43" t="e">
        <f t="shared" si="67"/>
        <v>#VALUE!</v>
      </c>
      <c r="X365" s="43" t="e">
        <f t="shared" si="68"/>
        <v>#VALUE!</v>
      </c>
    </row>
    <row r="366" spans="1:24" ht="14.25" customHeight="1">
      <c r="A366" s="46"/>
      <c r="B366" s="8">
        <v>3.9</v>
      </c>
      <c r="C366" s="8">
        <f t="shared" si="51"/>
        <v>1.95</v>
      </c>
      <c r="D366" s="16" t="s">
        <v>25</v>
      </c>
      <c r="E366" s="16" t="s">
        <v>74</v>
      </c>
      <c r="F366" s="17" t="s">
        <v>59</v>
      </c>
      <c r="G366" s="17" t="s">
        <v>28</v>
      </c>
      <c r="H366" s="17" t="s">
        <v>29</v>
      </c>
      <c r="I366" s="17" t="s">
        <v>36</v>
      </c>
      <c r="J366" s="8">
        <v>1.1100000000000001</v>
      </c>
      <c r="K366" s="8">
        <v>1.87</v>
      </c>
      <c r="L366" s="8">
        <f t="shared" si="70"/>
        <v>68.468468468468473</v>
      </c>
      <c r="M366" s="9">
        <v>68.599999999999994</v>
      </c>
      <c r="N366" s="9">
        <v>97.2</v>
      </c>
      <c r="O366" s="10">
        <f t="shared" si="69"/>
        <v>41.690962099125379</v>
      </c>
      <c r="P366" s="11" t="s">
        <v>31</v>
      </c>
      <c r="Q366" s="11" t="s">
        <v>31</v>
      </c>
      <c r="R366" s="33" t="s">
        <v>31</v>
      </c>
      <c r="S366" s="37">
        <f t="shared" si="63"/>
        <v>1.0453229787866576</v>
      </c>
      <c r="T366" s="37">
        <f t="shared" si="64"/>
        <v>2.8354906134941338</v>
      </c>
      <c r="U366" s="42">
        <f t="shared" si="65"/>
        <v>2.8363241157067516</v>
      </c>
      <c r="V366" s="41">
        <f t="shared" si="66"/>
        <v>2.6200419174222915</v>
      </c>
      <c r="W366" s="43" t="e">
        <f t="shared" si="67"/>
        <v>#VALUE!</v>
      </c>
      <c r="X366" s="43" t="e">
        <f t="shared" si="68"/>
        <v>#VALUE!</v>
      </c>
    </row>
    <row r="367" spans="1:24" ht="14.25" customHeight="1">
      <c r="A367" s="46"/>
      <c r="B367" s="8">
        <v>6.8</v>
      </c>
      <c r="C367" s="8">
        <f t="shared" si="51"/>
        <v>3.4</v>
      </c>
      <c r="D367" s="16" t="s">
        <v>25</v>
      </c>
      <c r="E367" s="16" t="s">
        <v>74</v>
      </c>
      <c r="F367" s="17" t="s">
        <v>59</v>
      </c>
      <c r="G367" s="17" t="s">
        <v>28</v>
      </c>
      <c r="H367" s="17" t="s">
        <v>29</v>
      </c>
      <c r="I367" s="17" t="s">
        <v>36</v>
      </c>
      <c r="J367" s="8">
        <v>1.1100000000000001</v>
      </c>
      <c r="K367" s="8">
        <v>2.11</v>
      </c>
      <c r="L367" s="8">
        <f t="shared" si="70"/>
        <v>90.090090090090058</v>
      </c>
      <c r="M367" s="9">
        <v>68.599999999999994</v>
      </c>
      <c r="N367" s="9">
        <v>93.6</v>
      </c>
      <c r="O367" s="10">
        <f t="shared" si="69"/>
        <v>36.443148688046648</v>
      </c>
      <c r="P367" s="11" t="s">
        <v>31</v>
      </c>
      <c r="Q367" s="11" t="s">
        <v>31</v>
      </c>
      <c r="R367" s="33" t="s">
        <v>31</v>
      </c>
      <c r="S367" s="37">
        <f t="shared" si="63"/>
        <v>1.0453229787866576</v>
      </c>
      <c r="T367" s="37">
        <f t="shared" si="64"/>
        <v>2.9546770212133424</v>
      </c>
      <c r="U367" s="42">
        <f t="shared" si="65"/>
        <v>2.8363241157067516</v>
      </c>
      <c r="V367" s="41">
        <f t="shared" si="66"/>
        <v>2.5616158929652859</v>
      </c>
      <c r="W367" s="43" t="e">
        <f t="shared" si="67"/>
        <v>#VALUE!</v>
      </c>
      <c r="X367" s="43" t="e">
        <f t="shared" si="68"/>
        <v>#VALUE!</v>
      </c>
    </row>
    <row r="368" spans="1:24" ht="14.25" customHeight="1">
      <c r="A368" s="46"/>
      <c r="B368" s="8">
        <v>13</v>
      </c>
      <c r="C368" s="8">
        <f t="shared" si="51"/>
        <v>6.5</v>
      </c>
      <c r="D368" s="16" t="s">
        <v>25</v>
      </c>
      <c r="E368" s="16" t="s">
        <v>107</v>
      </c>
      <c r="F368" s="17" t="s">
        <v>59</v>
      </c>
      <c r="G368" s="17" t="s">
        <v>37</v>
      </c>
      <c r="H368" s="17" t="s">
        <v>29</v>
      </c>
      <c r="I368" s="17" t="s">
        <v>136</v>
      </c>
      <c r="J368" s="8">
        <v>1.1100000000000001</v>
      </c>
      <c r="K368" s="8" t="s">
        <v>31</v>
      </c>
      <c r="L368" s="8" t="s">
        <v>31</v>
      </c>
      <c r="M368" s="9">
        <v>68.599999999999994</v>
      </c>
      <c r="N368" s="9" t="s">
        <v>31</v>
      </c>
      <c r="O368" s="10" t="s">
        <v>31</v>
      </c>
      <c r="P368" s="11" t="s">
        <v>31</v>
      </c>
      <c r="Q368" s="11" t="s">
        <v>31</v>
      </c>
      <c r="R368" s="33" t="s">
        <v>31</v>
      </c>
      <c r="S368" s="37">
        <f t="shared" si="63"/>
        <v>1.0453229787866576</v>
      </c>
      <c r="T368" s="37" t="e">
        <f t="shared" si="64"/>
        <v>#VALUE!</v>
      </c>
      <c r="U368" s="42">
        <f t="shared" si="65"/>
        <v>2.8363241157067516</v>
      </c>
      <c r="V368" s="41" t="e">
        <f t="shared" si="66"/>
        <v>#VALUE!</v>
      </c>
      <c r="W368" s="43" t="e">
        <f t="shared" si="67"/>
        <v>#VALUE!</v>
      </c>
      <c r="X368" s="43" t="e">
        <f t="shared" si="68"/>
        <v>#VALUE!</v>
      </c>
    </row>
    <row r="369" spans="1:24" ht="14.25" customHeight="1">
      <c r="A369" s="46"/>
      <c r="B369" s="8">
        <v>1.8</v>
      </c>
      <c r="C369" s="8">
        <f t="shared" si="51"/>
        <v>0.9</v>
      </c>
      <c r="D369" s="16" t="s">
        <v>25</v>
      </c>
      <c r="E369" s="16" t="s">
        <v>74</v>
      </c>
      <c r="F369" s="17" t="s">
        <v>59</v>
      </c>
      <c r="G369" s="17" t="s">
        <v>37</v>
      </c>
      <c r="H369" s="17" t="s">
        <v>29</v>
      </c>
      <c r="I369" s="17" t="s">
        <v>36</v>
      </c>
      <c r="J369" s="8">
        <v>1.1100000000000001</v>
      </c>
      <c r="K369" s="8">
        <v>1.41</v>
      </c>
      <c r="L369" s="8">
        <f t="shared" si="70"/>
        <v>27.027027027027007</v>
      </c>
      <c r="M369" s="9">
        <v>68.599999999999994</v>
      </c>
      <c r="N369" s="9">
        <v>82</v>
      </c>
      <c r="O369" s="10">
        <f t="shared" si="69"/>
        <v>19.533527696793012</v>
      </c>
      <c r="P369" s="11" t="s">
        <v>31</v>
      </c>
      <c r="Q369" s="11" t="s">
        <v>31</v>
      </c>
      <c r="R369" s="33" t="s">
        <v>31</v>
      </c>
      <c r="S369" s="37">
        <f t="shared" si="63"/>
        <v>1.0453229787866576</v>
      </c>
      <c r="T369" s="37">
        <f t="shared" si="64"/>
        <v>2.4317982759330046</v>
      </c>
      <c r="U369" s="42">
        <f t="shared" si="65"/>
        <v>2.8363241157067516</v>
      </c>
      <c r="V369" s="41">
        <f t="shared" si="66"/>
        <v>2.2907806826580561</v>
      </c>
      <c r="W369" s="43" t="e">
        <f t="shared" si="67"/>
        <v>#VALUE!</v>
      </c>
      <c r="X369" s="43" t="e">
        <f t="shared" si="68"/>
        <v>#VALUE!</v>
      </c>
    </row>
    <row r="370" spans="1:24" ht="14.25" customHeight="1">
      <c r="A370" s="46"/>
      <c r="B370" s="8">
        <v>5.4</v>
      </c>
      <c r="C370" s="8">
        <f t="shared" si="51"/>
        <v>2.7</v>
      </c>
      <c r="D370" s="16" t="s">
        <v>25</v>
      </c>
      <c r="E370" s="16" t="s">
        <v>125</v>
      </c>
      <c r="F370" s="17" t="s">
        <v>59</v>
      </c>
      <c r="G370" s="17" t="s">
        <v>28</v>
      </c>
      <c r="H370" s="17" t="s">
        <v>29</v>
      </c>
      <c r="I370" s="17" t="s">
        <v>36</v>
      </c>
      <c r="J370" s="8">
        <v>0.10199999999999999</v>
      </c>
      <c r="K370" s="8">
        <v>0.18</v>
      </c>
      <c r="L370" s="8">
        <f t="shared" si="70"/>
        <v>76.47058823529413</v>
      </c>
      <c r="M370" s="9">
        <v>7.3</v>
      </c>
      <c r="N370" s="9">
        <v>10.5</v>
      </c>
      <c r="O370" s="10">
        <f t="shared" si="69"/>
        <v>43.835616438356169</v>
      </c>
      <c r="P370" s="11" t="s">
        <v>31</v>
      </c>
      <c r="Q370" s="11" t="s">
        <v>31</v>
      </c>
      <c r="R370" s="33" t="s">
        <v>31</v>
      </c>
      <c r="S370" s="37">
        <f t="shared" si="63"/>
        <v>8.6001717619175692E-3</v>
      </c>
      <c r="T370" s="37">
        <f t="shared" si="64"/>
        <v>2.8834944309285628</v>
      </c>
      <c r="U370" s="42">
        <f t="shared" si="65"/>
        <v>1.8633228601204559</v>
      </c>
      <c r="V370" s="41">
        <f t="shared" si="66"/>
        <v>2.6418271181994499</v>
      </c>
      <c r="W370" s="43" t="e">
        <f t="shared" si="67"/>
        <v>#VALUE!</v>
      </c>
      <c r="X370" s="43" t="e">
        <f t="shared" si="68"/>
        <v>#VALUE!</v>
      </c>
    </row>
    <row r="371" spans="1:24" ht="14.25" customHeight="1">
      <c r="A371" s="46"/>
      <c r="B371" s="8">
        <v>5</v>
      </c>
      <c r="C371" s="8">
        <f t="shared" si="51"/>
        <v>2.5</v>
      </c>
      <c r="D371" s="16" t="s">
        <v>25</v>
      </c>
      <c r="E371" s="16" t="s">
        <v>33</v>
      </c>
      <c r="F371" s="17" t="s">
        <v>59</v>
      </c>
      <c r="G371" s="17" t="s">
        <v>37</v>
      </c>
      <c r="H371" s="17" t="s">
        <v>29</v>
      </c>
      <c r="I371" s="17" t="s">
        <v>161</v>
      </c>
      <c r="J371" s="8" t="s">
        <v>31</v>
      </c>
      <c r="K371" s="8" t="s">
        <v>31</v>
      </c>
      <c r="L371" s="8" t="s">
        <v>31</v>
      </c>
      <c r="M371" s="9" t="s">
        <v>31</v>
      </c>
      <c r="N371" s="9" t="s">
        <v>31</v>
      </c>
      <c r="O371" s="10" t="s">
        <v>31</v>
      </c>
      <c r="P371" s="11" t="s">
        <v>31</v>
      </c>
      <c r="Q371" s="11" t="s">
        <v>31</v>
      </c>
      <c r="R371" s="33" t="s">
        <v>31</v>
      </c>
      <c r="S371" s="37" t="e">
        <f t="shared" si="63"/>
        <v>#VALUE!</v>
      </c>
      <c r="T371" s="37" t="e">
        <f t="shared" si="64"/>
        <v>#VALUE!</v>
      </c>
      <c r="U371" s="42" t="e">
        <f t="shared" si="65"/>
        <v>#VALUE!</v>
      </c>
      <c r="V371" s="41" t="e">
        <f t="shared" si="66"/>
        <v>#VALUE!</v>
      </c>
      <c r="W371" s="43" t="e">
        <f t="shared" si="67"/>
        <v>#VALUE!</v>
      </c>
      <c r="X371" s="43" t="e">
        <f t="shared" si="68"/>
        <v>#VALUE!</v>
      </c>
    </row>
    <row r="372" spans="1:24" ht="14.25" customHeight="1">
      <c r="A372" s="49"/>
      <c r="B372" s="8">
        <v>4</v>
      </c>
      <c r="C372" s="8">
        <f t="shared" si="51"/>
        <v>2</v>
      </c>
      <c r="D372" s="16" t="s">
        <v>25</v>
      </c>
      <c r="E372" s="16" t="s">
        <v>172</v>
      </c>
      <c r="F372" s="17" t="s">
        <v>59</v>
      </c>
      <c r="G372" s="17" t="s">
        <v>28</v>
      </c>
      <c r="H372" s="17" t="s">
        <v>29</v>
      </c>
      <c r="I372" s="17" t="s">
        <v>36</v>
      </c>
      <c r="J372" s="8">
        <v>2.41</v>
      </c>
      <c r="K372" s="8">
        <v>3.37</v>
      </c>
      <c r="L372" s="8">
        <f t="shared" si="70"/>
        <v>39.834024896265561</v>
      </c>
      <c r="M372" s="9">
        <v>66</v>
      </c>
      <c r="N372" s="9">
        <v>80</v>
      </c>
      <c r="O372" s="10">
        <f t="shared" si="69"/>
        <v>21.212121212121211</v>
      </c>
      <c r="P372" s="11" t="s">
        <v>31</v>
      </c>
      <c r="Q372" s="11" t="s">
        <v>31</v>
      </c>
      <c r="R372" s="33" t="s">
        <v>31</v>
      </c>
      <c r="S372" s="37">
        <f t="shared" si="63"/>
        <v>1.3820170425748683</v>
      </c>
      <c r="T372" s="37">
        <f t="shared" si="64"/>
        <v>2.6002541904647001</v>
      </c>
      <c r="U372" s="42">
        <f t="shared" si="65"/>
        <v>2.8195439355418688</v>
      </c>
      <c r="V372" s="41">
        <f t="shared" si="66"/>
        <v>2.3265841001363694</v>
      </c>
      <c r="W372" s="43" t="e">
        <f t="shared" si="67"/>
        <v>#VALUE!</v>
      </c>
      <c r="X372" s="43" t="e">
        <f t="shared" si="68"/>
        <v>#VALUE!</v>
      </c>
    </row>
    <row r="373" spans="1:24" ht="14.25" customHeight="1">
      <c r="A373" s="49"/>
      <c r="B373" s="8">
        <v>5</v>
      </c>
      <c r="C373" s="8">
        <f t="shared" si="51"/>
        <v>2.5</v>
      </c>
      <c r="D373" s="16" t="s">
        <v>42</v>
      </c>
      <c r="E373" s="16" t="s">
        <v>43</v>
      </c>
      <c r="F373" s="17" t="s">
        <v>59</v>
      </c>
      <c r="G373" s="17" t="s">
        <v>37</v>
      </c>
      <c r="H373" s="17" t="s">
        <v>29</v>
      </c>
      <c r="I373" s="17" t="s">
        <v>36</v>
      </c>
      <c r="J373" s="8">
        <v>1E-3</v>
      </c>
      <c r="K373" s="8">
        <v>3.0000000000000001E-3</v>
      </c>
      <c r="L373" s="8">
        <f t="shared" si="70"/>
        <v>200</v>
      </c>
      <c r="M373" s="9" t="s">
        <v>31</v>
      </c>
      <c r="N373" s="9" t="s">
        <v>31</v>
      </c>
      <c r="O373" s="10" t="s">
        <v>31</v>
      </c>
      <c r="P373" s="11" t="s">
        <v>31</v>
      </c>
      <c r="Q373" s="11" t="s">
        <v>31</v>
      </c>
      <c r="R373" s="33" t="s">
        <v>31</v>
      </c>
      <c r="S373" s="37">
        <f t="shared" si="63"/>
        <v>-2</v>
      </c>
      <c r="T373" s="37">
        <f t="shared" si="64"/>
        <v>3.3010299956639813</v>
      </c>
      <c r="U373" s="42" t="e">
        <f t="shared" si="65"/>
        <v>#VALUE!</v>
      </c>
      <c r="V373" s="41" t="e">
        <f t="shared" si="66"/>
        <v>#VALUE!</v>
      </c>
      <c r="W373" s="43" t="e">
        <f t="shared" si="67"/>
        <v>#VALUE!</v>
      </c>
      <c r="X373" s="43" t="e">
        <f t="shared" si="68"/>
        <v>#VALUE!</v>
      </c>
    </row>
    <row r="374" spans="1:24" ht="14.25" customHeight="1">
      <c r="A374" s="50"/>
      <c r="B374" s="8">
        <v>10</v>
      </c>
      <c r="C374" s="8">
        <f t="shared" si="51"/>
        <v>5</v>
      </c>
      <c r="D374" s="16" t="s">
        <v>61</v>
      </c>
      <c r="E374" s="16" t="s">
        <v>173</v>
      </c>
      <c r="F374" s="17" t="s">
        <v>59</v>
      </c>
      <c r="G374" s="17" t="s">
        <v>37</v>
      </c>
      <c r="H374" s="17" t="s">
        <v>29</v>
      </c>
      <c r="I374" s="17" t="s">
        <v>36</v>
      </c>
      <c r="J374" s="8" t="s">
        <v>31</v>
      </c>
      <c r="K374" s="8" t="s">
        <v>31</v>
      </c>
      <c r="L374" s="8" t="s">
        <v>31</v>
      </c>
      <c r="M374" s="9" t="s">
        <v>31</v>
      </c>
      <c r="N374" s="9" t="s">
        <v>31</v>
      </c>
      <c r="O374" s="10" t="s">
        <v>31</v>
      </c>
      <c r="P374" s="11" t="s">
        <v>31</v>
      </c>
      <c r="Q374" s="11" t="s">
        <v>31</v>
      </c>
      <c r="R374" s="33" t="s">
        <v>31</v>
      </c>
      <c r="S374" s="37" t="e">
        <f t="shared" si="63"/>
        <v>#VALUE!</v>
      </c>
      <c r="T374" s="37" t="e">
        <f t="shared" si="64"/>
        <v>#VALUE!</v>
      </c>
      <c r="U374" s="42" t="e">
        <f t="shared" si="65"/>
        <v>#VALUE!</v>
      </c>
      <c r="V374" s="41" t="e">
        <f t="shared" si="66"/>
        <v>#VALUE!</v>
      </c>
      <c r="W374" s="43" t="e">
        <f t="shared" si="67"/>
        <v>#VALUE!</v>
      </c>
      <c r="X374" s="43" t="e">
        <f t="shared" si="68"/>
        <v>#VALUE!</v>
      </c>
    </row>
    <row r="375" spans="1:24" ht="14.25" customHeight="1">
      <c r="A375" s="45" t="s">
        <v>174</v>
      </c>
      <c r="B375" s="8">
        <v>1</v>
      </c>
      <c r="C375" s="8">
        <f t="shared" si="51"/>
        <v>0.5</v>
      </c>
      <c r="D375" s="16" t="s">
        <v>42</v>
      </c>
      <c r="E375" s="16" t="s">
        <v>148</v>
      </c>
      <c r="F375" s="17" t="s">
        <v>59</v>
      </c>
      <c r="G375" s="17" t="s">
        <v>28</v>
      </c>
      <c r="H375" s="17" t="s">
        <v>29</v>
      </c>
      <c r="I375" s="17" t="s">
        <v>175</v>
      </c>
      <c r="J375" s="8">
        <v>2.9</v>
      </c>
      <c r="K375" s="8">
        <v>3.48</v>
      </c>
      <c r="L375" s="8">
        <f t="shared" si="70"/>
        <v>20.000000000000004</v>
      </c>
      <c r="M375" s="9">
        <v>61.1</v>
      </c>
      <c r="N375" s="9">
        <v>64.5</v>
      </c>
      <c r="O375" s="10">
        <f t="shared" si="69"/>
        <v>5.5646481178396048</v>
      </c>
      <c r="P375" s="11" t="s">
        <v>31</v>
      </c>
      <c r="Q375" s="11" t="s">
        <v>31</v>
      </c>
      <c r="R375" s="33" t="s">
        <v>31</v>
      </c>
      <c r="S375" s="37">
        <f t="shared" si="63"/>
        <v>1.4623979978989561</v>
      </c>
      <c r="T375" s="37">
        <f t="shared" si="64"/>
        <v>2.3010299956639813</v>
      </c>
      <c r="U375" s="42">
        <f t="shared" si="65"/>
        <v>2.786041210242554</v>
      </c>
      <c r="V375" s="41">
        <f t="shared" si="66"/>
        <v>1.7454377067997007</v>
      </c>
      <c r="W375" s="43" t="e">
        <f t="shared" si="67"/>
        <v>#VALUE!</v>
      </c>
      <c r="X375" s="43" t="e">
        <f t="shared" si="68"/>
        <v>#VALUE!</v>
      </c>
    </row>
    <row r="376" spans="1:24" ht="14.25" customHeight="1">
      <c r="A376" s="49"/>
      <c r="B376" s="8">
        <v>2</v>
      </c>
      <c r="C376" s="8">
        <f t="shared" si="51"/>
        <v>1</v>
      </c>
      <c r="D376" s="16" t="s">
        <v>42</v>
      </c>
      <c r="E376" s="16" t="s">
        <v>148</v>
      </c>
      <c r="F376" s="17" t="s">
        <v>59</v>
      </c>
      <c r="G376" s="17" t="s">
        <v>28</v>
      </c>
      <c r="H376" s="17" t="s">
        <v>29</v>
      </c>
      <c r="I376" s="17" t="s">
        <v>175</v>
      </c>
      <c r="J376" s="8">
        <v>2.9</v>
      </c>
      <c r="K376" s="8">
        <v>3.84</v>
      </c>
      <c r="L376" s="8">
        <f t="shared" si="70"/>
        <v>32.41379310344827</v>
      </c>
      <c r="M376" s="9">
        <v>61.1</v>
      </c>
      <c r="N376" s="9">
        <v>66</v>
      </c>
      <c r="O376" s="10">
        <f t="shared" si="69"/>
        <v>8.019639934533549</v>
      </c>
      <c r="P376" s="11" t="s">
        <v>31</v>
      </c>
      <c r="Q376" s="11" t="s">
        <v>31</v>
      </c>
      <c r="R376" s="33" t="s">
        <v>31</v>
      </c>
      <c r="S376" s="37">
        <f t="shared" si="63"/>
        <v>1.4623979978989561</v>
      </c>
      <c r="T376" s="37">
        <f t="shared" si="64"/>
        <v>2.5107298557007423</v>
      </c>
      <c r="U376" s="42">
        <f t="shared" si="65"/>
        <v>2.786041210242554</v>
      </c>
      <c r="V376" s="41">
        <f t="shared" si="66"/>
        <v>1.9041548697859594</v>
      </c>
      <c r="W376" s="43" t="e">
        <f t="shared" si="67"/>
        <v>#VALUE!</v>
      </c>
      <c r="X376" s="43" t="e">
        <f t="shared" si="68"/>
        <v>#VALUE!</v>
      </c>
    </row>
    <row r="377" spans="1:24" ht="14.25" customHeight="1">
      <c r="A377" s="49"/>
      <c r="B377" s="8">
        <v>3</v>
      </c>
      <c r="C377" s="8">
        <f t="shared" si="51"/>
        <v>1.5</v>
      </c>
      <c r="D377" s="16" t="s">
        <v>42</v>
      </c>
      <c r="E377" s="16" t="s">
        <v>148</v>
      </c>
      <c r="F377" s="17" t="s">
        <v>59</v>
      </c>
      <c r="G377" s="17" t="s">
        <v>37</v>
      </c>
      <c r="H377" s="17" t="s">
        <v>29</v>
      </c>
      <c r="I377" s="17" t="s">
        <v>175</v>
      </c>
      <c r="J377" s="8">
        <v>2.9</v>
      </c>
      <c r="K377" s="8">
        <v>4.0999999999999996</v>
      </c>
      <c r="L377" s="8">
        <f t="shared" si="70"/>
        <v>41.37931034482758</v>
      </c>
      <c r="M377" s="9">
        <v>61.1</v>
      </c>
      <c r="N377" s="9">
        <v>64.67</v>
      </c>
      <c r="O377" s="10">
        <f t="shared" si="69"/>
        <v>5.8428805237315879</v>
      </c>
      <c r="P377" s="11" t="s">
        <v>31</v>
      </c>
      <c r="Q377" s="11" t="s">
        <v>31</v>
      </c>
      <c r="R377" s="33" t="s">
        <v>31</v>
      </c>
      <c r="S377" s="37">
        <f t="shared" si="63"/>
        <v>1.4623979978989561</v>
      </c>
      <c r="T377" s="37">
        <f t="shared" si="64"/>
        <v>2.6167832481486686</v>
      </c>
      <c r="U377" s="42">
        <f t="shared" si="65"/>
        <v>2.786041210242554</v>
      </c>
      <c r="V377" s="41">
        <f t="shared" si="66"/>
        <v>1.7666270058696389</v>
      </c>
      <c r="W377" s="43" t="e">
        <f t="shared" si="67"/>
        <v>#VALUE!</v>
      </c>
      <c r="X377" s="43" t="e">
        <f t="shared" si="68"/>
        <v>#VALUE!</v>
      </c>
    </row>
    <row r="378" spans="1:24" ht="14.25" customHeight="1">
      <c r="A378" s="49"/>
      <c r="B378" s="8">
        <v>5</v>
      </c>
      <c r="C378" s="8">
        <f t="shared" si="51"/>
        <v>2.5</v>
      </c>
      <c r="D378" s="16" t="s">
        <v>42</v>
      </c>
      <c r="E378" s="16" t="s">
        <v>148</v>
      </c>
      <c r="F378" s="17" t="s">
        <v>59</v>
      </c>
      <c r="G378" s="17" t="s">
        <v>37</v>
      </c>
      <c r="H378" s="17" t="s">
        <v>29</v>
      </c>
      <c r="I378" s="17" t="s">
        <v>175</v>
      </c>
      <c r="J378" s="8">
        <v>2.9</v>
      </c>
      <c r="K378" s="8">
        <v>4.33</v>
      </c>
      <c r="L378" s="8">
        <f t="shared" si="70"/>
        <v>49.310344827586214</v>
      </c>
      <c r="M378" s="9">
        <v>61.1</v>
      </c>
      <c r="N378" s="9">
        <v>61.62</v>
      </c>
      <c r="O378" s="10">
        <f t="shared" si="69"/>
        <v>0.8510638297872275</v>
      </c>
      <c r="P378" s="11" t="s">
        <v>31</v>
      </c>
      <c r="Q378" s="11" t="s">
        <v>31</v>
      </c>
      <c r="R378" s="33" t="s">
        <v>31</v>
      </c>
      <c r="S378" s="37">
        <f t="shared" si="63"/>
        <v>1.4623979978989561</v>
      </c>
      <c r="T378" s="37">
        <f t="shared" si="64"/>
        <v>2.6929380395661058</v>
      </c>
      <c r="U378" s="42">
        <f t="shared" si="65"/>
        <v>2.786041210242554</v>
      </c>
      <c r="V378" s="41">
        <f t="shared" si="66"/>
        <v>0.92996213339224154</v>
      </c>
      <c r="W378" s="43" t="e">
        <f t="shared" si="67"/>
        <v>#VALUE!</v>
      </c>
      <c r="X378" s="43" t="e">
        <f t="shared" si="68"/>
        <v>#VALUE!</v>
      </c>
    </row>
    <row r="379" spans="1:24" ht="14.25" customHeight="1">
      <c r="A379" s="50"/>
      <c r="B379" s="8">
        <v>10</v>
      </c>
      <c r="C379" s="8">
        <f t="shared" si="51"/>
        <v>5</v>
      </c>
      <c r="D379" s="16" t="s">
        <v>42</v>
      </c>
      <c r="E379" s="16" t="s">
        <v>148</v>
      </c>
      <c r="F379" s="17" t="s">
        <v>59</v>
      </c>
      <c r="G379" s="17" t="s">
        <v>37</v>
      </c>
      <c r="H379" s="17" t="s">
        <v>29</v>
      </c>
      <c r="I379" s="17" t="s">
        <v>175</v>
      </c>
      <c r="J379" s="8">
        <v>2.9</v>
      </c>
      <c r="K379" s="8">
        <v>4.41</v>
      </c>
      <c r="L379" s="8">
        <f t="shared" si="70"/>
        <v>52.068965517241381</v>
      </c>
      <c r="M379" s="9">
        <v>61.1</v>
      </c>
      <c r="N379" s="9">
        <v>61.5</v>
      </c>
      <c r="O379" s="10">
        <f t="shared" si="69"/>
        <v>0.65466448445171621</v>
      </c>
      <c r="P379" s="11" t="s">
        <v>31</v>
      </c>
      <c r="Q379" s="11" t="s">
        <v>31</v>
      </c>
      <c r="R379" s="33" t="s">
        <v>31</v>
      </c>
      <c r="S379" s="37">
        <f t="shared" si="63"/>
        <v>1.4623979978989561</v>
      </c>
      <c r="T379" s="37">
        <f t="shared" si="64"/>
        <v>2.7165789493942132</v>
      </c>
      <c r="U379" s="42">
        <f t="shared" si="65"/>
        <v>2.786041210242554</v>
      </c>
      <c r="V379" s="41">
        <f t="shared" si="66"/>
        <v>0.81601878108540671</v>
      </c>
      <c r="W379" s="43" t="e">
        <f t="shared" si="67"/>
        <v>#VALUE!</v>
      </c>
      <c r="X379" s="43" t="e">
        <f t="shared" si="68"/>
        <v>#VALUE!</v>
      </c>
    </row>
    <row r="380" spans="1:24" ht="14.25" customHeight="1">
      <c r="A380" s="45" t="s">
        <v>176</v>
      </c>
      <c r="B380" s="8">
        <v>2</v>
      </c>
      <c r="C380" s="8">
        <f t="shared" si="51"/>
        <v>1</v>
      </c>
      <c r="D380" s="16" t="s">
        <v>42</v>
      </c>
      <c r="E380" s="16" t="s">
        <v>43</v>
      </c>
      <c r="F380" s="17" t="s">
        <v>59</v>
      </c>
      <c r="G380" s="17" t="s">
        <v>35</v>
      </c>
      <c r="H380" s="17" t="s">
        <v>29</v>
      </c>
      <c r="I380" s="17" t="s">
        <v>175</v>
      </c>
      <c r="J380" s="8">
        <v>1.44</v>
      </c>
      <c r="K380" s="8">
        <v>1.73</v>
      </c>
      <c r="L380" s="8">
        <f t="shared" si="70"/>
        <v>20.138888888888893</v>
      </c>
      <c r="M380" s="9">
        <v>47.5</v>
      </c>
      <c r="N380" s="9">
        <v>31.56</v>
      </c>
      <c r="O380" s="10">
        <f t="shared" si="69"/>
        <v>-33.557894736842108</v>
      </c>
      <c r="P380" s="11">
        <v>10.39</v>
      </c>
      <c r="Q380" s="11">
        <v>10.5</v>
      </c>
      <c r="R380" s="33">
        <f>((Q380-P380)/P380)*100</f>
        <v>1.0587102983638057</v>
      </c>
      <c r="S380" s="37">
        <f t="shared" si="63"/>
        <v>1.1583624920952496</v>
      </c>
      <c r="T380" s="37">
        <f t="shared" si="64"/>
        <v>2.3040355058037063</v>
      </c>
      <c r="U380" s="42">
        <f t="shared" si="65"/>
        <v>2.6766936096248664</v>
      </c>
      <c r="V380" s="41" t="e">
        <f t="shared" si="66"/>
        <v>#NUM!</v>
      </c>
      <c r="W380" s="43">
        <f t="shared" si="67"/>
        <v>2.0166155475571776</v>
      </c>
      <c r="X380" s="43">
        <f t="shared" si="68"/>
        <v>1.0247771376010453</v>
      </c>
    </row>
    <row r="381" spans="1:24" ht="14.25" customHeight="1">
      <c r="A381" s="46"/>
      <c r="B381" s="8">
        <v>5</v>
      </c>
      <c r="C381" s="8">
        <f t="shared" si="51"/>
        <v>2.5</v>
      </c>
      <c r="D381" s="16" t="s">
        <v>42</v>
      </c>
      <c r="E381" s="16" t="s">
        <v>43</v>
      </c>
      <c r="F381" s="17" t="s">
        <v>59</v>
      </c>
      <c r="G381" s="17" t="s">
        <v>35</v>
      </c>
      <c r="H381" s="17" t="s">
        <v>29</v>
      </c>
      <c r="I381" s="17" t="s">
        <v>175</v>
      </c>
      <c r="J381" s="8">
        <v>1.44</v>
      </c>
      <c r="K381" s="8">
        <v>1.9</v>
      </c>
      <c r="L381" s="8">
        <f t="shared" si="70"/>
        <v>31.944444444444443</v>
      </c>
      <c r="M381" s="9">
        <v>47.5</v>
      </c>
      <c r="N381" s="9">
        <v>37.950000000000003</v>
      </c>
      <c r="O381" s="10">
        <f t="shared" si="69"/>
        <v>-20.105263157894733</v>
      </c>
      <c r="P381" s="11">
        <v>10.39</v>
      </c>
      <c r="Q381" s="11">
        <v>11.3</v>
      </c>
      <c r="R381" s="33">
        <f t="shared" ref="R381:R442" si="72">((Q381-P381)/P381)*100</f>
        <v>8.7584215591915324</v>
      </c>
      <c r="S381" s="37">
        <f t="shared" si="63"/>
        <v>1.1583624920952496</v>
      </c>
      <c r="T381" s="37">
        <f t="shared" si="64"/>
        <v>2.5043953395863245</v>
      </c>
      <c r="U381" s="42">
        <f t="shared" si="65"/>
        <v>2.6766936096248664</v>
      </c>
      <c r="V381" s="41" t="e">
        <f t="shared" si="66"/>
        <v>#NUM!</v>
      </c>
      <c r="W381" s="43">
        <f t="shared" si="67"/>
        <v>2.0166155475571776</v>
      </c>
      <c r="X381" s="43">
        <f t="shared" si="68"/>
        <v>1.9424258447639162</v>
      </c>
    </row>
    <row r="382" spans="1:24" ht="14.25" customHeight="1">
      <c r="A382" s="46"/>
      <c r="B382" s="8">
        <v>7</v>
      </c>
      <c r="C382" s="8">
        <f t="shared" si="51"/>
        <v>3.5</v>
      </c>
      <c r="D382" s="16" t="s">
        <v>42</v>
      </c>
      <c r="E382" s="16" t="s">
        <v>43</v>
      </c>
      <c r="F382" s="17" t="s">
        <v>59</v>
      </c>
      <c r="G382" s="17" t="s">
        <v>35</v>
      </c>
      <c r="H382" s="17" t="s">
        <v>29</v>
      </c>
      <c r="I382" s="17" t="s">
        <v>175</v>
      </c>
      <c r="J382" s="8">
        <v>1.44</v>
      </c>
      <c r="K382" s="8">
        <v>2.09</v>
      </c>
      <c r="L382" s="8">
        <f t="shared" si="70"/>
        <v>45.138888888888886</v>
      </c>
      <c r="M382" s="9">
        <v>47.5</v>
      </c>
      <c r="N382" s="9">
        <v>33.79</v>
      </c>
      <c r="O382" s="10">
        <f t="shared" si="69"/>
        <v>-28.863157894736847</v>
      </c>
      <c r="P382" s="11">
        <v>10.39</v>
      </c>
      <c r="Q382" s="11">
        <v>9.35</v>
      </c>
      <c r="R382" s="33">
        <f t="shared" si="72"/>
        <v>-10.009624639076042</v>
      </c>
      <c r="S382" s="37">
        <f t="shared" si="63"/>
        <v>1.1583624920952496</v>
      </c>
      <c r="T382" s="37">
        <f t="shared" si="64"/>
        <v>2.6545508645476059</v>
      </c>
      <c r="U382" s="42">
        <f t="shared" si="65"/>
        <v>2.6766936096248664</v>
      </c>
      <c r="V382" s="41" t="e">
        <f t="shared" si="66"/>
        <v>#NUM!</v>
      </c>
      <c r="W382" s="43">
        <f t="shared" si="67"/>
        <v>2.0166155475571776</v>
      </c>
      <c r="X382" s="43" t="e">
        <f t="shared" si="68"/>
        <v>#NUM!</v>
      </c>
    </row>
    <row r="383" spans="1:24" ht="14.25" customHeight="1">
      <c r="A383" s="46"/>
      <c r="B383" s="8">
        <v>2</v>
      </c>
      <c r="C383" s="8">
        <f t="shared" si="51"/>
        <v>1</v>
      </c>
      <c r="D383" s="16" t="s">
        <v>42</v>
      </c>
      <c r="E383" s="16" t="s">
        <v>43</v>
      </c>
      <c r="F383" s="17" t="s">
        <v>112</v>
      </c>
      <c r="G383" s="17" t="s">
        <v>38</v>
      </c>
      <c r="H383" s="17" t="s">
        <v>29</v>
      </c>
      <c r="I383" s="17" t="s">
        <v>175</v>
      </c>
      <c r="J383" s="8">
        <v>1.44</v>
      </c>
      <c r="K383" s="8">
        <v>1.61</v>
      </c>
      <c r="L383" s="8">
        <f t="shared" si="70"/>
        <v>11.805555555555566</v>
      </c>
      <c r="M383" s="9">
        <v>47.5</v>
      </c>
      <c r="N383" s="9">
        <v>32.6</v>
      </c>
      <c r="O383" s="10">
        <f t="shared" si="69"/>
        <v>-31.368421052631572</v>
      </c>
      <c r="P383" s="11">
        <v>10.39</v>
      </c>
      <c r="Q383" s="11">
        <v>10.41</v>
      </c>
      <c r="R383" s="33">
        <f t="shared" si="72"/>
        <v>0.19249278152068885</v>
      </c>
      <c r="S383" s="37">
        <f t="shared" si="63"/>
        <v>1.1583624920952496</v>
      </c>
      <c r="T383" s="37">
        <f t="shared" si="64"/>
        <v>2.0720864292830248</v>
      </c>
      <c r="U383" s="42">
        <f t="shared" si="65"/>
        <v>2.6766936096248664</v>
      </c>
      <c r="V383" s="41" t="e">
        <f t="shared" si="66"/>
        <v>#NUM!</v>
      </c>
      <c r="W383" s="43">
        <f t="shared" si="67"/>
        <v>2.0166155475571776</v>
      </c>
      <c r="X383" s="43">
        <f t="shared" si="68"/>
        <v>0.2844144481067945</v>
      </c>
    </row>
    <row r="384" spans="1:24" ht="14.25" customHeight="1">
      <c r="A384" s="46"/>
      <c r="B384" s="8">
        <v>5</v>
      </c>
      <c r="C384" s="8">
        <f t="shared" si="51"/>
        <v>2.5</v>
      </c>
      <c r="D384" s="16" t="s">
        <v>42</v>
      </c>
      <c r="E384" s="16" t="s">
        <v>43</v>
      </c>
      <c r="F384" s="17" t="s">
        <v>112</v>
      </c>
      <c r="G384" s="17" t="s">
        <v>38</v>
      </c>
      <c r="H384" s="17" t="s">
        <v>29</v>
      </c>
      <c r="I384" s="17" t="s">
        <v>175</v>
      </c>
      <c r="J384" s="8">
        <v>1.44</v>
      </c>
      <c r="K384" s="8">
        <v>1.72</v>
      </c>
      <c r="L384" s="8">
        <f t="shared" si="70"/>
        <v>19.444444444444446</v>
      </c>
      <c r="M384" s="9">
        <v>47.5</v>
      </c>
      <c r="N384" s="9">
        <v>36.909999999999997</v>
      </c>
      <c r="O384" s="10">
        <f t="shared" si="69"/>
        <v>-22.294736842105269</v>
      </c>
      <c r="P384" s="11">
        <v>10.39</v>
      </c>
      <c r="Q384" s="11">
        <v>10.98</v>
      </c>
      <c r="R384" s="33">
        <f t="shared" si="72"/>
        <v>5.678537054860441</v>
      </c>
      <c r="S384" s="37">
        <f t="shared" si="63"/>
        <v>1.1583624920952496</v>
      </c>
      <c r="T384" s="37">
        <f t="shared" si="64"/>
        <v>2.2887955392469697</v>
      </c>
      <c r="U384" s="42">
        <f t="shared" si="65"/>
        <v>2.6766936096248664</v>
      </c>
      <c r="V384" s="41" t="e">
        <f t="shared" si="66"/>
        <v>#NUM!</v>
      </c>
      <c r="W384" s="43">
        <f t="shared" si="67"/>
        <v>2.0166155475571776</v>
      </c>
      <c r="X384" s="43">
        <f t="shared" si="68"/>
        <v>1.7542364640849666</v>
      </c>
    </row>
    <row r="385" spans="1:24" ht="14.25" customHeight="1">
      <c r="A385" s="46"/>
      <c r="B385" s="8">
        <v>7</v>
      </c>
      <c r="C385" s="8">
        <f t="shared" si="51"/>
        <v>3.5</v>
      </c>
      <c r="D385" s="16" t="s">
        <v>42</v>
      </c>
      <c r="E385" s="16" t="s">
        <v>43</v>
      </c>
      <c r="F385" s="17" t="s">
        <v>112</v>
      </c>
      <c r="G385" s="17" t="s">
        <v>38</v>
      </c>
      <c r="H385" s="17" t="s">
        <v>29</v>
      </c>
      <c r="I385" s="17" t="s">
        <v>175</v>
      </c>
      <c r="J385" s="8">
        <v>1.44</v>
      </c>
      <c r="K385" s="8">
        <v>1.82</v>
      </c>
      <c r="L385" s="8">
        <f t="shared" si="70"/>
        <v>26.3888888888889</v>
      </c>
      <c r="M385" s="9">
        <v>47.5</v>
      </c>
      <c r="N385" s="9">
        <v>32.47</v>
      </c>
      <c r="O385" s="10">
        <f t="shared" si="69"/>
        <v>-31.642105263157898</v>
      </c>
      <c r="P385" s="11">
        <v>10.39</v>
      </c>
      <c r="Q385" s="11">
        <v>11.18</v>
      </c>
      <c r="R385" s="33">
        <f t="shared" si="72"/>
        <v>7.6034648700673637</v>
      </c>
      <c r="S385" s="37">
        <f t="shared" si="63"/>
        <v>1.1583624920952496</v>
      </c>
      <c r="T385" s="37">
        <f t="shared" si="64"/>
        <v>2.4214211045215608</v>
      </c>
      <c r="U385" s="42">
        <f t="shared" si="65"/>
        <v>2.6766936096248664</v>
      </c>
      <c r="V385" s="41" t="e">
        <f t="shared" si="66"/>
        <v>#NUM!</v>
      </c>
      <c r="W385" s="43">
        <f t="shared" si="67"/>
        <v>2.0166155475571776</v>
      </c>
      <c r="X385" s="43">
        <f t="shared" si="68"/>
        <v>1.8810115437332635</v>
      </c>
    </row>
    <row r="386" spans="1:24" ht="14.25" customHeight="1">
      <c r="A386" s="49"/>
      <c r="B386" s="8">
        <v>2</v>
      </c>
      <c r="C386" s="8">
        <f t="shared" si="51"/>
        <v>1</v>
      </c>
      <c r="D386" s="16" t="s">
        <v>42</v>
      </c>
      <c r="E386" s="16" t="s">
        <v>177</v>
      </c>
      <c r="F386" s="17" t="s">
        <v>59</v>
      </c>
      <c r="G386" s="17" t="s">
        <v>35</v>
      </c>
      <c r="H386" s="17" t="s">
        <v>29</v>
      </c>
      <c r="I386" s="17" t="s">
        <v>175</v>
      </c>
      <c r="J386" s="8">
        <v>3.49</v>
      </c>
      <c r="K386" s="8">
        <v>3.55</v>
      </c>
      <c r="L386" s="8">
        <f t="shared" si="70"/>
        <v>1.7191977077363783</v>
      </c>
      <c r="M386" s="9">
        <v>71.099999999999994</v>
      </c>
      <c r="N386" s="9">
        <v>69.400000000000006</v>
      </c>
      <c r="O386" s="10">
        <f t="shared" si="69"/>
        <v>-2.3909985935302234</v>
      </c>
      <c r="P386" s="11">
        <v>2.54</v>
      </c>
      <c r="Q386" s="11">
        <v>2.38</v>
      </c>
      <c r="R386" s="33">
        <f t="shared" si="72"/>
        <v>-6.2992125984252025</v>
      </c>
      <c r="S386" s="37">
        <f t="shared" si="63"/>
        <v>1.5428254269591799</v>
      </c>
      <c r="T386" s="37">
        <f t="shared" si="64"/>
        <v>1.2353258234244608</v>
      </c>
      <c r="U386" s="42">
        <f t="shared" si="65"/>
        <v>2.8518696007297661</v>
      </c>
      <c r="V386" s="41" t="e">
        <f t="shared" si="66"/>
        <v>#NUM!</v>
      </c>
      <c r="W386" s="43">
        <f t="shared" si="67"/>
        <v>1.4048337166199381</v>
      </c>
      <c r="X386" s="43" t="e">
        <f t="shared" si="68"/>
        <v>#NUM!</v>
      </c>
    </row>
    <row r="387" spans="1:24" ht="14.25" customHeight="1">
      <c r="A387" s="49"/>
      <c r="B387" s="8">
        <v>5</v>
      </c>
      <c r="C387" s="8">
        <f t="shared" si="51"/>
        <v>2.5</v>
      </c>
      <c r="D387" s="16" t="s">
        <v>42</v>
      </c>
      <c r="E387" s="16" t="s">
        <v>177</v>
      </c>
      <c r="F387" s="17" t="s">
        <v>59</v>
      </c>
      <c r="G387" s="17" t="s">
        <v>35</v>
      </c>
      <c r="H387" s="17" t="s">
        <v>29</v>
      </c>
      <c r="I387" s="17" t="s">
        <v>175</v>
      </c>
      <c r="J387" s="8">
        <v>3.49</v>
      </c>
      <c r="K387" s="8">
        <v>3.74</v>
      </c>
      <c r="L387" s="8">
        <f t="shared" si="70"/>
        <v>7.1633237822349569</v>
      </c>
      <c r="M387" s="9">
        <v>71.099999999999994</v>
      </c>
      <c r="N387" s="9">
        <v>66.209999999999994</v>
      </c>
      <c r="O387" s="10">
        <f t="shared" si="69"/>
        <v>-6.8776371308016895</v>
      </c>
      <c r="P387" s="11">
        <v>2.54</v>
      </c>
      <c r="Q387" s="11">
        <v>2.2200000000000002</v>
      </c>
      <c r="R387" s="33">
        <f t="shared" si="72"/>
        <v>-12.598425196850387</v>
      </c>
      <c r="S387" s="37">
        <f t="shared" si="63"/>
        <v>1.5428254269591799</v>
      </c>
      <c r="T387" s="37">
        <f t="shared" si="64"/>
        <v>1.8551145817128578</v>
      </c>
      <c r="U387" s="42">
        <f t="shared" si="65"/>
        <v>2.8518696007297661</v>
      </c>
      <c r="V387" s="41" t="e">
        <f t="shared" si="66"/>
        <v>#NUM!</v>
      </c>
      <c r="W387" s="43">
        <f t="shared" si="67"/>
        <v>1.4048337166199381</v>
      </c>
      <c r="X387" s="43" t="e">
        <f t="shared" si="68"/>
        <v>#NUM!</v>
      </c>
    </row>
    <row r="388" spans="1:24" ht="14.25" customHeight="1">
      <c r="A388" s="50"/>
      <c r="B388" s="8">
        <v>7</v>
      </c>
      <c r="C388" s="8">
        <f t="shared" si="51"/>
        <v>3.5</v>
      </c>
      <c r="D388" s="16" t="s">
        <v>42</v>
      </c>
      <c r="E388" s="16" t="s">
        <v>177</v>
      </c>
      <c r="F388" s="17" t="s">
        <v>59</v>
      </c>
      <c r="G388" s="17" t="s">
        <v>35</v>
      </c>
      <c r="H388" s="17" t="s">
        <v>29</v>
      </c>
      <c r="I388" s="17" t="s">
        <v>175</v>
      </c>
      <c r="J388" s="8">
        <v>3.49</v>
      </c>
      <c r="K388" s="8">
        <v>3.91</v>
      </c>
      <c r="L388" s="8">
        <f t="shared" si="70"/>
        <v>12.034383954154725</v>
      </c>
      <c r="M388" s="9">
        <v>71.099999999999994</v>
      </c>
      <c r="N388" s="9">
        <v>64.099999999999994</v>
      </c>
      <c r="O388" s="10">
        <f t="shared" si="69"/>
        <v>-9.8452883263009863</v>
      </c>
      <c r="P388" s="11">
        <v>2.54</v>
      </c>
      <c r="Q388" s="11">
        <v>2.08</v>
      </c>
      <c r="R388" s="33">
        <f t="shared" si="72"/>
        <v>-18.110236220472441</v>
      </c>
      <c r="S388" s="37">
        <f t="shared" ref="S388:S451" si="73">LOG10(J388*10)</f>
        <v>1.5428254269591799</v>
      </c>
      <c r="T388" s="37">
        <f t="shared" ref="T388:T451" si="74">LOG10(L388*10)</f>
        <v>2.0804238634387207</v>
      </c>
      <c r="U388" s="42">
        <f t="shared" ref="U388:U451" si="75">LOG10(M388*10)</f>
        <v>2.8518696007297661</v>
      </c>
      <c r="V388" s="41" t="e">
        <f t="shared" ref="V388:V451" si="76">LOG10(O388*10)</f>
        <v>#NUM!</v>
      </c>
      <c r="W388" s="43">
        <f t="shared" ref="W388:W451" si="77">LOG10(P388*10)</f>
        <v>1.4048337166199381</v>
      </c>
      <c r="X388" s="43" t="e">
        <f t="shared" ref="X388:X451" si="78">LOG10(R388*10)</f>
        <v>#NUM!</v>
      </c>
    </row>
    <row r="389" spans="1:24" ht="14.25" customHeight="1">
      <c r="A389" s="45" t="s">
        <v>178</v>
      </c>
      <c r="B389" s="8">
        <v>1</v>
      </c>
      <c r="C389" s="8">
        <f t="shared" si="51"/>
        <v>0.5</v>
      </c>
      <c r="D389" s="16" t="s">
        <v>42</v>
      </c>
      <c r="E389" s="16" t="s">
        <v>148</v>
      </c>
      <c r="F389" s="17" t="s">
        <v>59</v>
      </c>
      <c r="G389" s="17" t="s">
        <v>179</v>
      </c>
      <c r="H389" s="17" t="s">
        <v>29</v>
      </c>
      <c r="I389" s="17" t="s">
        <v>175</v>
      </c>
      <c r="J389" s="8">
        <v>2.54</v>
      </c>
      <c r="K389" s="8">
        <v>2.62</v>
      </c>
      <c r="L389" s="8">
        <f t="shared" si="70"/>
        <v>3.1496062992126013</v>
      </c>
      <c r="M389" s="9">
        <v>86</v>
      </c>
      <c r="N389" s="9">
        <v>92</v>
      </c>
      <c r="O389" s="10">
        <f t="shared" si="69"/>
        <v>6.9767441860465116</v>
      </c>
      <c r="P389" s="11">
        <v>6.02</v>
      </c>
      <c r="Q389" s="11">
        <v>5.18</v>
      </c>
      <c r="R389" s="33">
        <f t="shared" si="72"/>
        <v>-13.953488372093023</v>
      </c>
      <c r="S389" s="37">
        <f t="shared" si="73"/>
        <v>1.4048337166199381</v>
      </c>
      <c r="T389" s="37">
        <f t="shared" si="74"/>
        <v>1.4982562703720059</v>
      </c>
      <c r="U389" s="42">
        <f t="shared" si="75"/>
        <v>2.9344984512435679</v>
      </c>
      <c r="V389" s="41">
        <f t="shared" si="76"/>
        <v>1.843652799140076</v>
      </c>
      <c r="W389" s="43">
        <f t="shared" si="77"/>
        <v>1.7795964912578246</v>
      </c>
      <c r="X389" s="43" t="e">
        <f t="shared" si="78"/>
        <v>#NUM!</v>
      </c>
    </row>
    <row r="390" spans="1:24" ht="14.25" customHeight="1">
      <c r="A390" s="46"/>
      <c r="B390" s="8">
        <v>2</v>
      </c>
      <c r="C390" s="8">
        <f t="shared" si="51"/>
        <v>1</v>
      </c>
      <c r="D390" s="16" t="s">
        <v>42</v>
      </c>
      <c r="E390" s="16" t="s">
        <v>148</v>
      </c>
      <c r="F390" s="17" t="s">
        <v>59</v>
      </c>
      <c r="G390" s="17" t="s">
        <v>179</v>
      </c>
      <c r="H390" s="17" t="s">
        <v>29</v>
      </c>
      <c r="I390" s="17" t="s">
        <v>175</v>
      </c>
      <c r="J390" s="8">
        <v>2.54</v>
      </c>
      <c r="K390" s="8">
        <v>2.83</v>
      </c>
      <c r="L390" s="8">
        <f t="shared" si="70"/>
        <v>11.41732283464567</v>
      </c>
      <c r="M390" s="9">
        <v>86</v>
      </c>
      <c r="N390" s="9">
        <v>79</v>
      </c>
      <c r="O390" s="10">
        <f t="shared" si="69"/>
        <v>-8.1395348837209305</v>
      </c>
      <c r="P390" s="11">
        <v>6.02</v>
      </c>
      <c r="Q390" s="11">
        <v>0.2</v>
      </c>
      <c r="R390" s="33">
        <f t="shared" si="72"/>
        <v>-96.677740863787378</v>
      </c>
      <c r="S390" s="37">
        <f t="shared" si="73"/>
        <v>1.4048337166199381</v>
      </c>
      <c r="T390" s="37">
        <f t="shared" si="74"/>
        <v>2.057564281279018</v>
      </c>
      <c r="U390" s="42">
        <f t="shared" si="75"/>
        <v>2.9344984512435679</v>
      </c>
      <c r="V390" s="41" t="e">
        <f t="shared" si="76"/>
        <v>#NUM!</v>
      </c>
      <c r="W390" s="43">
        <f t="shared" si="77"/>
        <v>1.7795964912578246</v>
      </c>
      <c r="X390" s="43" t="e">
        <f t="shared" si="78"/>
        <v>#NUM!</v>
      </c>
    </row>
    <row r="391" spans="1:24" ht="14.25" customHeight="1">
      <c r="A391" s="49"/>
      <c r="B391" s="8">
        <v>3.5</v>
      </c>
      <c r="C391" s="8">
        <f t="shared" si="51"/>
        <v>1.75</v>
      </c>
      <c r="D391" s="16" t="s">
        <v>42</v>
      </c>
      <c r="E391" s="16" t="s">
        <v>148</v>
      </c>
      <c r="F391" s="17" t="s">
        <v>59</v>
      </c>
      <c r="G391" s="17" t="s">
        <v>179</v>
      </c>
      <c r="H391" s="17" t="s">
        <v>29</v>
      </c>
      <c r="I391" s="17" t="s">
        <v>175</v>
      </c>
      <c r="J391" s="8">
        <v>2.54</v>
      </c>
      <c r="K391" s="8">
        <v>3.26</v>
      </c>
      <c r="L391" s="8">
        <f t="shared" si="70"/>
        <v>28.346456692913375</v>
      </c>
      <c r="M391" s="9">
        <v>86</v>
      </c>
      <c r="N391" s="9">
        <v>58</v>
      </c>
      <c r="O391" s="10">
        <f t="shared" si="69"/>
        <v>-32.558139534883722</v>
      </c>
      <c r="P391" s="11">
        <v>6.02</v>
      </c>
      <c r="Q391" s="11">
        <v>2.4</v>
      </c>
      <c r="R391" s="33">
        <f t="shared" si="72"/>
        <v>-60.132890365448496</v>
      </c>
      <c r="S391" s="37">
        <f t="shared" si="73"/>
        <v>1.4048337166199381</v>
      </c>
      <c r="T391" s="37">
        <f t="shared" si="74"/>
        <v>2.45249877981133</v>
      </c>
      <c r="U391" s="42">
        <f t="shared" si="75"/>
        <v>2.9344984512435679</v>
      </c>
      <c r="V391" s="41" t="e">
        <f t="shared" si="76"/>
        <v>#NUM!</v>
      </c>
      <c r="W391" s="43">
        <f t="shared" si="77"/>
        <v>1.7795964912578246</v>
      </c>
      <c r="X391" s="43" t="e">
        <f t="shared" si="78"/>
        <v>#NUM!</v>
      </c>
    </row>
    <row r="392" spans="1:24" ht="14.25" customHeight="1">
      <c r="A392" s="49"/>
      <c r="B392" s="8">
        <v>5</v>
      </c>
      <c r="C392" s="8">
        <f t="shared" si="51"/>
        <v>2.5</v>
      </c>
      <c r="D392" s="16" t="s">
        <v>42</v>
      </c>
      <c r="E392" s="16" t="s">
        <v>148</v>
      </c>
      <c r="F392" s="17" t="s">
        <v>59</v>
      </c>
      <c r="G392" s="17" t="s">
        <v>179</v>
      </c>
      <c r="H392" s="17" t="s">
        <v>29</v>
      </c>
      <c r="I392" s="17" t="s">
        <v>175</v>
      </c>
      <c r="J392" s="8">
        <v>2.54</v>
      </c>
      <c r="K392" s="8">
        <v>3.46</v>
      </c>
      <c r="L392" s="8">
        <f t="shared" si="70"/>
        <v>36.220472440944881</v>
      </c>
      <c r="M392" s="9">
        <v>86</v>
      </c>
      <c r="N392" s="9">
        <v>62</v>
      </c>
      <c r="O392" s="10">
        <f t="shared" si="69"/>
        <v>-27.906976744186046</v>
      </c>
      <c r="P392" s="11">
        <v>6.02</v>
      </c>
      <c r="Q392" s="11">
        <v>2.5</v>
      </c>
      <c r="R392" s="33">
        <f t="shared" si="72"/>
        <v>-58.471760797342185</v>
      </c>
      <c r="S392" s="37">
        <f t="shared" si="73"/>
        <v>1.4048337166199381</v>
      </c>
      <c r="T392" s="37">
        <f t="shared" si="74"/>
        <v>2.5589541107256171</v>
      </c>
      <c r="U392" s="42">
        <f t="shared" si="75"/>
        <v>2.9344984512435679</v>
      </c>
      <c r="V392" s="41" t="e">
        <f t="shared" si="76"/>
        <v>#NUM!</v>
      </c>
      <c r="W392" s="43">
        <f t="shared" si="77"/>
        <v>1.7795964912578246</v>
      </c>
      <c r="X392" s="43" t="e">
        <f t="shared" si="78"/>
        <v>#NUM!</v>
      </c>
    </row>
    <row r="393" spans="1:24" ht="14.25" customHeight="1">
      <c r="A393" s="50"/>
      <c r="B393" s="8">
        <v>10</v>
      </c>
      <c r="C393" s="8">
        <f t="shared" si="51"/>
        <v>5</v>
      </c>
      <c r="D393" s="16" t="s">
        <v>42</v>
      </c>
      <c r="E393" s="16" t="s">
        <v>148</v>
      </c>
      <c r="F393" s="17" t="s">
        <v>59</v>
      </c>
      <c r="G393" s="17" t="s">
        <v>179</v>
      </c>
      <c r="H393" s="17" t="s">
        <v>29</v>
      </c>
      <c r="I393" s="17" t="s">
        <v>175</v>
      </c>
      <c r="J393" s="8">
        <v>2.54</v>
      </c>
      <c r="K393" s="8">
        <v>3.61</v>
      </c>
      <c r="L393" s="8">
        <f t="shared" si="70"/>
        <v>42.125984251968497</v>
      </c>
      <c r="M393" s="9">
        <v>86</v>
      </c>
      <c r="N393" s="9">
        <v>70</v>
      </c>
      <c r="O393" s="10">
        <f t="shared" si="69"/>
        <v>-18.604651162790699</v>
      </c>
      <c r="P393" s="11">
        <v>6.02</v>
      </c>
      <c r="Q393" s="11">
        <v>2.5</v>
      </c>
      <c r="R393" s="33">
        <f t="shared" si="72"/>
        <v>-58.471760797342185</v>
      </c>
      <c r="S393" s="37">
        <f t="shared" si="73"/>
        <v>1.4048337166199381</v>
      </c>
      <c r="T393" s="37">
        <f t="shared" si="74"/>
        <v>2.6245500610652717</v>
      </c>
      <c r="U393" s="42">
        <f t="shared" si="75"/>
        <v>2.9344984512435679</v>
      </c>
      <c r="V393" s="41" t="e">
        <f t="shared" si="76"/>
        <v>#NUM!</v>
      </c>
      <c r="W393" s="43">
        <f t="shared" si="77"/>
        <v>1.7795964912578246</v>
      </c>
      <c r="X393" s="43" t="e">
        <f t="shared" si="78"/>
        <v>#NUM!</v>
      </c>
    </row>
    <row r="394" spans="1:24" ht="14.25" customHeight="1">
      <c r="A394" s="45" t="s">
        <v>180</v>
      </c>
      <c r="B394" s="8">
        <v>2</v>
      </c>
      <c r="C394" s="8">
        <f t="shared" si="51"/>
        <v>1</v>
      </c>
      <c r="D394" s="16" t="s">
        <v>42</v>
      </c>
      <c r="E394" s="16" t="s">
        <v>148</v>
      </c>
      <c r="F394" s="17" t="s">
        <v>59</v>
      </c>
      <c r="G394" s="17" t="s">
        <v>37</v>
      </c>
      <c r="H394" s="17" t="s">
        <v>29</v>
      </c>
      <c r="I394" s="17" t="s">
        <v>175</v>
      </c>
      <c r="J394" s="8">
        <v>0.9</v>
      </c>
      <c r="K394" s="8">
        <v>0.87</v>
      </c>
      <c r="L394" s="8">
        <f t="shared" si="70"/>
        <v>-3.3333333333333361</v>
      </c>
      <c r="M394" s="9">
        <v>35</v>
      </c>
      <c r="N394" s="9">
        <v>37</v>
      </c>
      <c r="O394" s="10">
        <f t="shared" si="69"/>
        <v>5.7142857142857144</v>
      </c>
      <c r="P394" s="11" t="s">
        <v>31</v>
      </c>
      <c r="Q394" s="11" t="s">
        <v>31</v>
      </c>
      <c r="R394" s="33" t="s">
        <v>31</v>
      </c>
      <c r="S394" s="37">
        <f t="shared" si="73"/>
        <v>0.95424250943932487</v>
      </c>
      <c r="T394" s="37" t="e">
        <f t="shared" si="74"/>
        <v>#NUM!</v>
      </c>
      <c r="U394" s="42">
        <f t="shared" si="75"/>
        <v>2.5440680443502757</v>
      </c>
      <c r="V394" s="41">
        <f t="shared" si="76"/>
        <v>1.7569619513137056</v>
      </c>
      <c r="W394" s="43" t="e">
        <f t="shared" si="77"/>
        <v>#VALUE!</v>
      </c>
      <c r="X394" s="43" t="e">
        <f t="shared" si="78"/>
        <v>#VALUE!</v>
      </c>
    </row>
    <row r="395" spans="1:24" ht="14.25" customHeight="1">
      <c r="A395" s="46"/>
      <c r="B395" s="8">
        <v>2</v>
      </c>
      <c r="C395" s="8">
        <f t="shared" si="51"/>
        <v>1</v>
      </c>
      <c r="D395" s="16" t="s">
        <v>42</v>
      </c>
      <c r="E395" s="16" t="s">
        <v>148</v>
      </c>
      <c r="F395" s="17" t="s">
        <v>112</v>
      </c>
      <c r="G395" s="17" t="s">
        <v>28</v>
      </c>
      <c r="H395" s="17" t="s">
        <v>29</v>
      </c>
      <c r="I395" s="17" t="s">
        <v>175</v>
      </c>
      <c r="J395" s="8">
        <v>0.9</v>
      </c>
      <c r="K395" s="8">
        <v>1.22</v>
      </c>
      <c r="L395" s="8">
        <f t="shared" si="70"/>
        <v>35.55555555555555</v>
      </c>
      <c r="M395" s="9">
        <v>35</v>
      </c>
      <c r="N395" s="9">
        <v>47</v>
      </c>
      <c r="O395" s="10">
        <f t="shared" si="69"/>
        <v>34.285714285714285</v>
      </c>
      <c r="P395" s="11" t="s">
        <v>31</v>
      </c>
      <c r="Q395" s="11" t="s">
        <v>31</v>
      </c>
      <c r="R395" s="33" t="s">
        <v>31</v>
      </c>
      <c r="S395" s="37">
        <f t="shared" si="73"/>
        <v>0.95424250943932487</v>
      </c>
      <c r="T395" s="37">
        <f t="shared" si="74"/>
        <v>2.5509074688805811</v>
      </c>
      <c r="U395" s="42">
        <f t="shared" si="75"/>
        <v>2.5440680443502757</v>
      </c>
      <c r="V395" s="41">
        <f t="shared" si="76"/>
        <v>2.535113201697349</v>
      </c>
      <c r="W395" s="43" t="e">
        <f t="shared" si="77"/>
        <v>#VALUE!</v>
      </c>
      <c r="X395" s="43" t="e">
        <f t="shared" si="78"/>
        <v>#VALUE!</v>
      </c>
    </row>
    <row r="396" spans="1:24" ht="14.25" customHeight="1">
      <c r="A396" s="46"/>
      <c r="B396" s="8">
        <v>4</v>
      </c>
      <c r="C396" s="8">
        <f t="shared" si="51"/>
        <v>2</v>
      </c>
      <c r="D396" s="16" t="s">
        <v>42</v>
      </c>
      <c r="E396" s="16" t="s">
        <v>148</v>
      </c>
      <c r="F396" s="17" t="s">
        <v>59</v>
      </c>
      <c r="G396" s="17" t="s">
        <v>37</v>
      </c>
      <c r="H396" s="17" t="s">
        <v>29</v>
      </c>
      <c r="I396" s="17" t="s">
        <v>175</v>
      </c>
      <c r="J396" s="8">
        <v>0.9</v>
      </c>
      <c r="K396" s="8">
        <v>0.91</v>
      </c>
      <c r="L396" s="8">
        <f t="shared" si="70"/>
        <v>1.111111111111112</v>
      </c>
      <c r="M396" s="9">
        <v>35</v>
      </c>
      <c r="N396" s="9">
        <v>38</v>
      </c>
      <c r="O396" s="10">
        <f t="shared" si="69"/>
        <v>8.5714285714285712</v>
      </c>
      <c r="P396" s="11" t="s">
        <v>31</v>
      </c>
      <c r="Q396" s="11" t="s">
        <v>31</v>
      </c>
      <c r="R396" s="33" t="s">
        <v>31</v>
      </c>
      <c r="S396" s="37">
        <f t="shared" si="73"/>
        <v>0.95424250943932487</v>
      </c>
      <c r="T396" s="37">
        <f t="shared" si="74"/>
        <v>1.0457574905606755</v>
      </c>
      <c r="U396" s="42">
        <f t="shared" si="75"/>
        <v>2.5440680443502757</v>
      </c>
      <c r="V396" s="41">
        <f t="shared" si="76"/>
        <v>1.9330532103693867</v>
      </c>
      <c r="W396" s="43" t="e">
        <f t="shared" si="77"/>
        <v>#VALUE!</v>
      </c>
      <c r="X396" s="43" t="e">
        <f t="shared" si="78"/>
        <v>#VALUE!</v>
      </c>
    </row>
    <row r="397" spans="1:24" ht="14.25" customHeight="1">
      <c r="A397" s="46"/>
      <c r="B397" s="8">
        <v>4</v>
      </c>
      <c r="C397" s="8">
        <f t="shared" si="51"/>
        <v>2</v>
      </c>
      <c r="D397" s="16" t="s">
        <v>42</v>
      </c>
      <c r="E397" s="16" t="s">
        <v>148</v>
      </c>
      <c r="F397" s="17" t="s">
        <v>112</v>
      </c>
      <c r="G397" s="17" t="s">
        <v>28</v>
      </c>
      <c r="H397" s="17" t="s">
        <v>29</v>
      </c>
      <c r="I397" s="17" t="s">
        <v>175</v>
      </c>
      <c r="J397" s="8">
        <v>0.9</v>
      </c>
      <c r="K397" s="8">
        <v>1.42</v>
      </c>
      <c r="L397" s="8">
        <f t="shared" si="70"/>
        <v>57.777777777777764</v>
      </c>
      <c r="M397" s="9">
        <v>35</v>
      </c>
      <c r="N397" s="9">
        <v>53</v>
      </c>
      <c r="O397" s="10">
        <f t="shared" si="69"/>
        <v>51.428571428571423</v>
      </c>
      <c r="P397" s="11" t="s">
        <v>31</v>
      </c>
      <c r="Q397" s="11" t="s">
        <v>31</v>
      </c>
      <c r="R397" s="33" t="s">
        <v>31</v>
      </c>
      <c r="S397" s="37">
        <f t="shared" si="73"/>
        <v>0.95424250943932487</v>
      </c>
      <c r="T397" s="37">
        <f t="shared" si="74"/>
        <v>2.7617608341954742</v>
      </c>
      <c r="U397" s="42">
        <f t="shared" si="75"/>
        <v>2.5440680443502757</v>
      </c>
      <c r="V397" s="41">
        <f t="shared" si="76"/>
        <v>2.7112044607530303</v>
      </c>
      <c r="W397" s="43" t="e">
        <f t="shared" si="77"/>
        <v>#VALUE!</v>
      </c>
      <c r="X397" s="43" t="e">
        <f t="shared" si="78"/>
        <v>#VALUE!</v>
      </c>
    </row>
    <row r="398" spans="1:24" ht="14.25" customHeight="1">
      <c r="A398" s="46"/>
      <c r="B398" s="8">
        <v>5</v>
      </c>
      <c r="C398" s="8">
        <f t="shared" si="51"/>
        <v>2.5</v>
      </c>
      <c r="D398" s="16" t="s">
        <v>42</v>
      </c>
      <c r="E398" s="16" t="s">
        <v>148</v>
      </c>
      <c r="F398" s="17" t="s">
        <v>59</v>
      </c>
      <c r="G398" s="17" t="s">
        <v>37</v>
      </c>
      <c r="H398" s="17" t="s">
        <v>29</v>
      </c>
      <c r="I398" s="17" t="s">
        <v>175</v>
      </c>
      <c r="J398" s="8">
        <v>0.9</v>
      </c>
      <c r="K398" s="8">
        <v>1.05</v>
      </c>
      <c r="L398" s="8">
        <f t="shared" si="70"/>
        <v>16.666666666666668</v>
      </c>
      <c r="M398" s="9">
        <v>35</v>
      </c>
      <c r="N398" s="9">
        <v>40</v>
      </c>
      <c r="O398" s="10">
        <f t="shared" si="69"/>
        <v>14.285714285714285</v>
      </c>
      <c r="P398" s="11" t="s">
        <v>31</v>
      </c>
      <c r="Q398" s="11" t="s">
        <v>31</v>
      </c>
      <c r="R398" s="33" t="s">
        <v>31</v>
      </c>
      <c r="S398" s="37">
        <f t="shared" si="73"/>
        <v>0.95424250943932487</v>
      </c>
      <c r="T398" s="37">
        <f t="shared" si="74"/>
        <v>2.2218487496163566</v>
      </c>
      <c r="U398" s="42">
        <f t="shared" si="75"/>
        <v>2.5440680443502757</v>
      </c>
      <c r="V398" s="41">
        <f t="shared" si="76"/>
        <v>2.1549019599857431</v>
      </c>
      <c r="W398" s="43" t="e">
        <f t="shared" si="77"/>
        <v>#VALUE!</v>
      </c>
      <c r="X398" s="43" t="e">
        <f t="shared" si="78"/>
        <v>#VALUE!</v>
      </c>
    </row>
    <row r="399" spans="1:24" ht="14.25" customHeight="1">
      <c r="A399" s="46"/>
      <c r="B399" s="8">
        <v>5</v>
      </c>
      <c r="C399" s="8">
        <f t="shared" si="51"/>
        <v>2.5</v>
      </c>
      <c r="D399" s="16" t="s">
        <v>42</v>
      </c>
      <c r="E399" s="16" t="s">
        <v>148</v>
      </c>
      <c r="F399" s="17" t="s">
        <v>112</v>
      </c>
      <c r="G399" s="17" t="s">
        <v>28</v>
      </c>
      <c r="H399" s="17" t="s">
        <v>29</v>
      </c>
      <c r="I399" s="17" t="s">
        <v>175</v>
      </c>
      <c r="J399" s="8">
        <v>0.9</v>
      </c>
      <c r="K399" s="8">
        <v>1.45</v>
      </c>
      <c r="L399" s="8">
        <f t="shared" si="70"/>
        <v>61.111111111111107</v>
      </c>
      <c r="M399" s="9">
        <v>35</v>
      </c>
      <c r="N399" s="9">
        <v>55</v>
      </c>
      <c r="O399" s="10">
        <f t="shared" si="69"/>
        <v>57.142857142857139</v>
      </c>
      <c r="P399" s="11" t="s">
        <v>31</v>
      </c>
      <c r="Q399" s="11" t="s">
        <v>31</v>
      </c>
      <c r="R399" s="33" t="s">
        <v>31</v>
      </c>
      <c r="S399" s="37">
        <f t="shared" si="73"/>
        <v>0.95424250943932487</v>
      </c>
      <c r="T399" s="37">
        <f t="shared" si="74"/>
        <v>2.7861201800549189</v>
      </c>
      <c r="U399" s="42">
        <f t="shared" si="75"/>
        <v>2.5440680443502757</v>
      </c>
      <c r="V399" s="41">
        <f t="shared" si="76"/>
        <v>2.7569619513137056</v>
      </c>
      <c r="W399" s="43" t="e">
        <f t="shared" si="77"/>
        <v>#VALUE!</v>
      </c>
      <c r="X399" s="43" t="e">
        <f t="shared" si="78"/>
        <v>#VALUE!</v>
      </c>
    </row>
    <row r="400" spans="1:24" ht="14.25" customHeight="1">
      <c r="A400" s="46"/>
      <c r="B400" s="8">
        <v>6</v>
      </c>
      <c r="C400" s="8">
        <f t="shared" si="51"/>
        <v>3</v>
      </c>
      <c r="D400" s="16" t="s">
        <v>42</v>
      </c>
      <c r="E400" s="16" t="s">
        <v>148</v>
      </c>
      <c r="F400" s="17" t="s">
        <v>59</v>
      </c>
      <c r="G400" s="17" t="s">
        <v>37</v>
      </c>
      <c r="H400" s="17" t="s">
        <v>29</v>
      </c>
      <c r="I400" s="17" t="s">
        <v>175</v>
      </c>
      <c r="J400" s="8">
        <v>0.9</v>
      </c>
      <c r="K400" s="8">
        <v>0.82</v>
      </c>
      <c r="L400" s="8">
        <f t="shared" si="70"/>
        <v>-8.8888888888888964</v>
      </c>
      <c r="M400" s="9">
        <v>35</v>
      </c>
      <c r="N400" s="9">
        <v>36</v>
      </c>
      <c r="O400" s="10">
        <f t="shared" si="69"/>
        <v>2.8571428571428572</v>
      </c>
      <c r="P400" s="11" t="s">
        <v>31</v>
      </c>
      <c r="Q400" s="11" t="s">
        <v>31</v>
      </c>
      <c r="R400" s="33" t="s">
        <v>31</v>
      </c>
      <c r="S400" s="37">
        <f t="shared" si="73"/>
        <v>0.95424250943932487</v>
      </c>
      <c r="T400" s="37" t="e">
        <f t="shared" si="74"/>
        <v>#NUM!</v>
      </c>
      <c r="U400" s="42">
        <f t="shared" si="75"/>
        <v>2.5440680443502757</v>
      </c>
      <c r="V400" s="41">
        <f t="shared" si="76"/>
        <v>1.4559319556497243</v>
      </c>
      <c r="W400" s="43" t="e">
        <f t="shared" si="77"/>
        <v>#VALUE!</v>
      </c>
      <c r="X400" s="43" t="e">
        <f t="shared" si="78"/>
        <v>#VALUE!</v>
      </c>
    </row>
    <row r="401" spans="1:24" ht="14.25" customHeight="1">
      <c r="A401" s="46"/>
      <c r="B401" s="8">
        <v>6</v>
      </c>
      <c r="C401" s="8">
        <f t="shared" si="51"/>
        <v>3</v>
      </c>
      <c r="D401" s="16" t="s">
        <v>42</v>
      </c>
      <c r="E401" s="16" t="s">
        <v>148</v>
      </c>
      <c r="F401" s="17" t="s">
        <v>112</v>
      </c>
      <c r="G401" s="17" t="s">
        <v>28</v>
      </c>
      <c r="H401" s="17" t="s">
        <v>29</v>
      </c>
      <c r="I401" s="17" t="s">
        <v>175</v>
      </c>
      <c r="J401" s="8">
        <v>0.9</v>
      </c>
      <c r="K401" s="8">
        <v>1.37</v>
      </c>
      <c r="L401" s="8">
        <f t="shared" si="70"/>
        <v>52.222222222222229</v>
      </c>
      <c r="M401" s="9">
        <v>35</v>
      </c>
      <c r="N401" s="9">
        <v>52</v>
      </c>
      <c r="O401" s="10">
        <f t="shared" si="69"/>
        <v>48.571428571428569</v>
      </c>
      <c r="P401" s="11" t="s">
        <v>31</v>
      </c>
      <c r="Q401" s="11" t="s">
        <v>31</v>
      </c>
      <c r="R401" s="33" t="s">
        <v>31</v>
      </c>
      <c r="S401" s="37">
        <f t="shared" si="73"/>
        <v>0.95424250943932487</v>
      </c>
      <c r="T401" s="37">
        <f t="shared" si="74"/>
        <v>2.7178553484963928</v>
      </c>
      <c r="U401" s="42">
        <f t="shared" si="75"/>
        <v>2.5440680443502757</v>
      </c>
      <c r="V401" s="41">
        <f t="shared" si="76"/>
        <v>2.6863808770279984</v>
      </c>
      <c r="W401" s="43" t="e">
        <f t="shared" si="77"/>
        <v>#VALUE!</v>
      </c>
      <c r="X401" s="43" t="e">
        <f t="shared" si="78"/>
        <v>#VALUE!</v>
      </c>
    </row>
    <row r="402" spans="1:24" ht="14.25" customHeight="1">
      <c r="A402" s="46"/>
      <c r="B402" s="8">
        <v>8</v>
      </c>
      <c r="C402" s="8">
        <f t="shared" si="51"/>
        <v>4</v>
      </c>
      <c r="D402" s="16" t="s">
        <v>42</v>
      </c>
      <c r="E402" s="16" t="s">
        <v>148</v>
      </c>
      <c r="F402" s="17" t="s">
        <v>59</v>
      </c>
      <c r="G402" s="17" t="s">
        <v>37</v>
      </c>
      <c r="H402" s="17" t="s">
        <v>29</v>
      </c>
      <c r="I402" s="17" t="s">
        <v>175</v>
      </c>
      <c r="J402" s="8">
        <v>0.9</v>
      </c>
      <c r="K402" s="8">
        <v>0.71</v>
      </c>
      <c r="L402" s="8">
        <f t="shared" si="70"/>
        <v>-21.111111111111118</v>
      </c>
      <c r="M402" s="9">
        <v>35</v>
      </c>
      <c r="N402" s="9">
        <v>33</v>
      </c>
      <c r="O402" s="10">
        <f t="shared" si="69"/>
        <v>-5.7142857142857144</v>
      </c>
      <c r="P402" s="11" t="s">
        <v>31</v>
      </c>
      <c r="Q402" s="11" t="s">
        <v>31</v>
      </c>
      <c r="R402" s="33" t="s">
        <v>31</v>
      </c>
      <c r="S402" s="37">
        <f t="shared" si="73"/>
        <v>0.95424250943932487</v>
      </c>
      <c r="T402" s="37" t="e">
        <f t="shared" si="74"/>
        <v>#NUM!</v>
      </c>
      <c r="U402" s="42">
        <f t="shared" si="75"/>
        <v>2.5440680443502757</v>
      </c>
      <c r="V402" s="41" t="e">
        <f t="shared" si="76"/>
        <v>#NUM!</v>
      </c>
      <c r="W402" s="43" t="e">
        <f t="shared" si="77"/>
        <v>#VALUE!</v>
      </c>
      <c r="X402" s="43" t="e">
        <f t="shared" si="78"/>
        <v>#VALUE!</v>
      </c>
    </row>
    <row r="403" spans="1:24" ht="14.25" customHeight="1">
      <c r="A403" s="49"/>
      <c r="B403" s="8">
        <v>8</v>
      </c>
      <c r="C403" s="8">
        <f t="shared" si="51"/>
        <v>4</v>
      </c>
      <c r="D403" s="16" t="s">
        <v>42</v>
      </c>
      <c r="E403" s="16" t="s">
        <v>148</v>
      </c>
      <c r="F403" s="17" t="s">
        <v>112</v>
      </c>
      <c r="G403" s="17" t="s">
        <v>28</v>
      </c>
      <c r="H403" s="17" t="s">
        <v>29</v>
      </c>
      <c r="I403" s="17" t="s">
        <v>175</v>
      </c>
      <c r="J403" s="8">
        <v>0.9</v>
      </c>
      <c r="K403" s="8">
        <v>1.1499999999999999</v>
      </c>
      <c r="L403" s="8">
        <f t="shared" si="70"/>
        <v>27.777777777777761</v>
      </c>
      <c r="M403" s="9">
        <v>35</v>
      </c>
      <c r="N403" s="9">
        <v>45</v>
      </c>
      <c r="O403" s="10">
        <f t="shared" si="69"/>
        <v>28.571428571428569</v>
      </c>
      <c r="P403" s="11" t="s">
        <v>31</v>
      </c>
      <c r="Q403" s="11" t="s">
        <v>31</v>
      </c>
      <c r="R403" s="33" t="s">
        <v>31</v>
      </c>
      <c r="S403" s="37">
        <f t="shared" si="73"/>
        <v>0.95424250943932487</v>
      </c>
      <c r="T403" s="37">
        <f t="shared" si="74"/>
        <v>2.4436974992327123</v>
      </c>
      <c r="U403" s="42">
        <f t="shared" si="75"/>
        <v>2.5440680443502757</v>
      </c>
      <c r="V403" s="41">
        <f t="shared" si="76"/>
        <v>2.4559319556497243</v>
      </c>
      <c r="W403" s="43" t="e">
        <f t="shared" si="77"/>
        <v>#VALUE!</v>
      </c>
      <c r="X403" s="43" t="e">
        <f t="shared" si="78"/>
        <v>#VALUE!</v>
      </c>
    </row>
    <row r="404" spans="1:24" ht="14.25" customHeight="1">
      <c r="A404" s="49"/>
      <c r="B404" s="8">
        <v>10</v>
      </c>
      <c r="C404" s="8">
        <f t="shared" si="51"/>
        <v>5</v>
      </c>
      <c r="D404" s="16" t="s">
        <v>42</v>
      </c>
      <c r="E404" s="16" t="s">
        <v>148</v>
      </c>
      <c r="F404" s="17" t="s">
        <v>59</v>
      </c>
      <c r="G404" s="17" t="s">
        <v>37</v>
      </c>
      <c r="H404" s="17" t="s">
        <v>29</v>
      </c>
      <c r="I404" s="17" t="s">
        <v>175</v>
      </c>
      <c r="J404" s="8">
        <v>0.9</v>
      </c>
      <c r="K404" s="8">
        <v>0.65</v>
      </c>
      <c r="L404" s="8">
        <f t="shared" si="70"/>
        <v>-27.777777777777779</v>
      </c>
      <c r="M404" s="9">
        <v>35</v>
      </c>
      <c r="N404" s="9">
        <v>31</v>
      </c>
      <c r="O404" s="10">
        <f t="shared" si="69"/>
        <v>-11.428571428571429</v>
      </c>
      <c r="P404" s="11" t="s">
        <v>31</v>
      </c>
      <c r="Q404" s="11" t="s">
        <v>31</v>
      </c>
      <c r="R404" s="33" t="s">
        <v>31</v>
      </c>
      <c r="S404" s="37">
        <f t="shared" si="73"/>
        <v>0.95424250943932487</v>
      </c>
      <c r="T404" s="37" t="e">
        <f t="shared" si="74"/>
        <v>#NUM!</v>
      </c>
      <c r="U404" s="42">
        <f t="shared" si="75"/>
        <v>2.5440680443502757</v>
      </c>
      <c r="V404" s="41" t="e">
        <f t="shared" si="76"/>
        <v>#NUM!</v>
      </c>
      <c r="W404" s="43" t="e">
        <f t="shared" si="77"/>
        <v>#VALUE!</v>
      </c>
      <c r="X404" s="43" t="e">
        <f t="shared" si="78"/>
        <v>#VALUE!</v>
      </c>
    </row>
    <row r="405" spans="1:24" ht="14.25" customHeight="1">
      <c r="A405" s="50"/>
      <c r="B405" s="8">
        <v>10</v>
      </c>
      <c r="C405" s="8">
        <f t="shared" si="51"/>
        <v>5</v>
      </c>
      <c r="D405" s="16" t="s">
        <v>42</v>
      </c>
      <c r="E405" s="16" t="s">
        <v>148</v>
      </c>
      <c r="F405" s="17" t="s">
        <v>112</v>
      </c>
      <c r="G405" s="17" t="s">
        <v>28</v>
      </c>
      <c r="H405" s="17" t="s">
        <v>29</v>
      </c>
      <c r="I405" s="17" t="s">
        <v>175</v>
      </c>
      <c r="J405" s="8">
        <v>0.9</v>
      </c>
      <c r="K405" s="8">
        <v>0.97</v>
      </c>
      <c r="L405" s="8">
        <f t="shared" si="70"/>
        <v>7.7777777777777724</v>
      </c>
      <c r="M405" s="9">
        <v>35</v>
      </c>
      <c r="N405" s="9">
        <v>38</v>
      </c>
      <c r="O405" s="10">
        <f t="shared" si="69"/>
        <v>8.5714285714285712</v>
      </c>
      <c r="P405" s="11" t="s">
        <v>31</v>
      </c>
      <c r="Q405" s="11" t="s">
        <v>31</v>
      </c>
      <c r="R405" s="33" t="s">
        <v>31</v>
      </c>
      <c r="S405" s="37">
        <f t="shared" si="73"/>
        <v>0.95424250943932487</v>
      </c>
      <c r="T405" s="37">
        <f t="shared" si="74"/>
        <v>1.8908555305749317</v>
      </c>
      <c r="U405" s="42">
        <f t="shared" si="75"/>
        <v>2.5440680443502757</v>
      </c>
      <c r="V405" s="41">
        <f t="shared" si="76"/>
        <v>1.9330532103693867</v>
      </c>
      <c r="W405" s="43" t="e">
        <f t="shared" si="77"/>
        <v>#VALUE!</v>
      </c>
      <c r="X405" s="43" t="e">
        <f t="shared" si="78"/>
        <v>#VALUE!</v>
      </c>
    </row>
    <row r="406" spans="1:24" ht="14.25" customHeight="1">
      <c r="A406" s="45" t="s">
        <v>181</v>
      </c>
      <c r="B406" s="8">
        <v>2</v>
      </c>
      <c r="C406" s="8">
        <f t="shared" si="51"/>
        <v>1</v>
      </c>
      <c r="D406" s="16" t="s">
        <v>42</v>
      </c>
      <c r="E406" s="16" t="s">
        <v>43</v>
      </c>
      <c r="F406" s="17" t="s">
        <v>27</v>
      </c>
      <c r="G406" s="17" t="s">
        <v>38</v>
      </c>
      <c r="H406" s="17" t="s">
        <v>29</v>
      </c>
      <c r="I406" s="17" t="s">
        <v>51</v>
      </c>
      <c r="J406" s="8">
        <v>100</v>
      </c>
      <c r="K406" s="8">
        <v>120</v>
      </c>
      <c r="L406" s="8">
        <f t="shared" si="70"/>
        <v>20</v>
      </c>
      <c r="M406" s="9">
        <v>320</v>
      </c>
      <c r="N406" s="9" t="s">
        <v>31</v>
      </c>
      <c r="O406" s="10" t="s">
        <v>31</v>
      </c>
      <c r="P406" s="11">
        <v>2.5000000000000001E-2</v>
      </c>
      <c r="Q406" s="11" t="s">
        <v>31</v>
      </c>
      <c r="R406" s="33" t="s">
        <v>31</v>
      </c>
      <c r="S406" s="37">
        <f t="shared" si="73"/>
        <v>3</v>
      </c>
      <c r="T406" s="37">
        <f t="shared" si="74"/>
        <v>2.3010299956639813</v>
      </c>
      <c r="U406" s="42">
        <f t="shared" si="75"/>
        <v>3.5051499783199058</v>
      </c>
      <c r="V406" s="41" t="e">
        <f t="shared" si="76"/>
        <v>#VALUE!</v>
      </c>
      <c r="W406" s="43">
        <f t="shared" si="77"/>
        <v>-0.6020599913279624</v>
      </c>
      <c r="X406" s="43" t="e">
        <f t="shared" si="78"/>
        <v>#VALUE!</v>
      </c>
    </row>
    <row r="407" spans="1:24" ht="14.25" customHeight="1">
      <c r="A407" s="49"/>
      <c r="B407" s="8">
        <v>4</v>
      </c>
      <c r="C407" s="8">
        <f t="shared" si="51"/>
        <v>2</v>
      </c>
      <c r="D407" s="16" t="s">
        <v>42</v>
      </c>
      <c r="E407" s="16" t="s">
        <v>43</v>
      </c>
      <c r="F407" s="17" t="s">
        <v>27</v>
      </c>
      <c r="G407" s="17" t="s">
        <v>38</v>
      </c>
      <c r="H407" s="17" t="s">
        <v>29</v>
      </c>
      <c r="I407" s="17" t="s">
        <v>51</v>
      </c>
      <c r="J407" s="8">
        <v>100</v>
      </c>
      <c r="K407" s="8">
        <v>185</v>
      </c>
      <c r="L407" s="8">
        <f t="shared" si="70"/>
        <v>85</v>
      </c>
      <c r="M407" s="9">
        <v>320</v>
      </c>
      <c r="N407" s="9">
        <v>140</v>
      </c>
      <c r="O407" s="10">
        <f t="shared" si="69"/>
        <v>-56.25</v>
      </c>
      <c r="P407" s="11">
        <v>2.5000000000000001E-2</v>
      </c>
      <c r="Q407" s="11">
        <v>0.01</v>
      </c>
      <c r="R407" s="33">
        <f t="shared" si="72"/>
        <v>-60</v>
      </c>
      <c r="S407" s="37">
        <f t="shared" si="73"/>
        <v>3</v>
      </c>
      <c r="T407" s="37">
        <f t="shared" si="74"/>
        <v>2.9294189257142929</v>
      </c>
      <c r="U407" s="42">
        <f t="shared" si="75"/>
        <v>3.5051499783199058</v>
      </c>
      <c r="V407" s="41" t="e">
        <f t="shared" si="76"/>
        <v>#NUM!</v>
      </c>
      <c r="W407" s="43">
        <f t="shared" si="77"/>
        <v>-0.6020599913279624</v>
      </c>
      <c r="X407" s="43" t="e">
        <f t="shared" si="78"/>
        <v>#NUM!</v>
      </c>
    </row>
    <row r="408" spans="1:24" ht="14.25" customHeight="1">
      <c r="A408" s="49"/>
      <c r="B408" s="8">
        <v>6</v>
      </c>
      <c r="C408" s="8">
        <f t="shared" si="51"/>
        <v>3</v>
      </c>
      <c r="D408" s="16" t="s">
        <v>42</v>
      </c>
      <c r="E408" s="16" t="s">
        <v>43</v>
      </c>
      <c r="F408" s="17" t="s">
        <v>27</v>
      </c>
      <c r="G408" s="17" t="s">
        <v>38</v>
      </c>
      <c r="H408" s="17" t="s">
        <v>29</v>
      </c>
      <c r="I408" s="17" t="s">
        <v>51</v>
      </c>
      <c r="J408" s="8">
        <v>100</v>
      </c>
      <c r="K408" s="8">
        <v>160</v>
      </c>
      <c r="L408" s="8">
        <f t="shared" si="70"/>
        <v>60</v>
      </c>
      <c r="M408" s="9">
        <v>320</v>
      </c>
      <c r="N408" s="9" t="s">
        <v>31</v>
      </c>
      <c r="O408" s="10" t="s">
        <v>31</v>
      </c>
      <c r="P408" s="11">
        <v>2.5000000000000001E-2</v>
      </c>
      <c r="Q408" s="11" t="s">
        <v>31</v>
      </c>
      <c r="R408" s="33" t="s">
        <v>31</v>
      </c>
      <c r="S408" s="37">
        <f t="shared" si="73"/>
        <v>3</v>
      </c>
      <c r="T408" s="37">
        <f t="shared" si="74"/>
        <v>2.7781512503836434</v>
      </c>
      <c r="U408" s="42">
        <f t="shared" si="75"/>
        <v>3.5051499783199058</v>
      </c>
      <c r="V408" s="41" t="e">
        <f t="shared" si="76"/>
        <v>#VALUE!</v>
      </c>
      <c r="W408" s="43">
        <f t="shared" si="77"/>
        <v>-0.6020599913279624</v>
      </c>
      <c r="X408" s="43" t="e">
        <f t="shared" si="78"/>
        <v>#VALUE!</v>
      </c>
    </row>
    <row r="409" spans="1:24" ht="14.25" customHeight="1">
      <c r="A409" s="49"/>
      <c r="B409" s="8">
        <v>10</v>
      </c>
      <c r="C409" s="8">
        <f t="shared" si="51"/>
        <v>5</v>
      </c>
      <c r="D409" s="16" t="s">
        <v>42</v>
      </c>
      <c r="E409" s="16" t="s">
        <v>43</v>
      </c>
      <c r="F409" s="17" t="s">
        <v>27</v>
      </c>
      <c r="G409" s="17" t="s">
        <v>38</v>
      </c>
      <c r="H409" s="17" t="s">
        <v>29</v>
      </c>
      <c r="I409" s="17" t="s">
        <v>51</v>
      </c>
      <c r="J409" s="8">
        <v>100</v>
      </c>
      <c r="K409" s="8">
        <v>90</v>
      </c>
      <c r="L409" s="8">
        <f t="shared" si="70"/>
        <v>-10</v>
      </c>
      <c r="M409" s="9">
        <v>320</v>
      </c>
      <c r="N409" s="9" t="s">
        <v>31</v>
      </c>
      <c r="O409" s="10" t="s">
        <v>31</v>
      </c>
      <c r="P409" s="11">
        <v>2.5000000000000001E-2</v>
      </c>
      <c r="Q409" s="11" t="s">
        <v>31</v>
      </c>
      <c r="R409" s="33" t="s">
        <v>31</v>
      </c>
      <c r="S409" s="37">
        <f t="shared" si="73"/>
        <v>3</v>
      </c>
      <c r="T409" s="37" t="e">
        <f t="shared" si="74"/>
        <v>#NUM!</v>
      </c>
      <c r="U409" s="42">
        <f t="shared" si="75"/>
        <v>3.5051499783199058</v>
      </c>
      <c r="V409" s="41" t="e">
        <f t="shared" si="76"/>
        <v>#VALUE!</v>
      </c>
      <c r="W409" s="43">
        <f t="shared" si="77"/>
        <v>-0.6020599913279624</v>
      </c>
      <c r="X409" s="43" t="e">
        <f t="shared" si="78"/>
        <v>#VALUE!</v>
      </c>
    </row>
    <row r="410" spans="1:24" ht="14.25" customHeight="1">
      <c r="A410" s="50"/>
      <c r="B410" s="8">
        <v>15</v>
      </c>
      <c r="C410" s="8">
        <f t="shared" si="51"/>
        <v>7.5</v>
      </c>
      <c r="D410" s="16" t="s">
        <v>42</v>
      </c>
      <c r="E410" s="16" t="s">
        <v>43</v>
      </c>
      <c r="F410" s="17" t="s">
        <v>27</v>
      </c>
      <c r="G410" s="17" t="s">
        <v>38</v>
      </c>
      <c r="H410" s="17" t="s">
        <v>29</v>
      </c>
      <c r="I410" s="17" t="s">
        <v>51</v>
      </c>
      <c r="J410" s="8">
        <v>100</v>
      </c>
      <c r="K410" s="8">
        <v>10</v>
      </c>
      <c r="L410" s="8">
        <f t="shared" si="70"/>
        <v>-90</v>
      </c>
      <c r="M410" s="9">
        <v>320</v>
      </c>
      <c r="N410" s="9">
        <v>125</v>
      </c>
      <c r="O410" s="10">
        <f t="shared" ref="O410:O524" si="79">(N410-M410)/M410*100</f>
        <v>-60.9375</v>
      </c>
      <c r="P410" s="11">
        <v>2.5000000000000001E-2</v>
      </c>
      <c r="Q410" s="11">
        <v>7.0000000000000007E-2</v>
      </c>
      <c r="R410" s="33">
        <f t="shared" si="72"/>
        <v>180</v>
      </c>
      <c r="S410" s="37">
        <f t="shared" si="73"/>
        <v>3</v>
      </c>
      <c r="T410" s="37" t="e">
        <f t="shared" si="74"/>
        <v>#NUM!</v>
      </c>
      <c r="U410" s="42">
        <f t="shared" si="75"/>
        <v>3.5051499783199058</v>
      </c>
      <c r="V410" s="41" t="e">
        <f t="shared" si="76"/>
        <v>#NUM!</v>
      </c>
      <c r="W410" s="43">
        <f t="shared" si="77"/>
        <v>-0.6020599913279624</v>
      </c>
      <c r="X410" s="43">
        <f t="shared" si="78"/>
        <v>3.255272505103306</v>
      </c>
    </row>
    <row r="411" spans="1:24" ht="14.25" customHeight="1">
      <c r="A411" s="45" t="s">
        <v>182</v>
      </c>
      <c r="B411" s="8">
        <v>2</v>
      </c>
      <c r="C411" s="8">
        <f t="shared" si="51"/>
        <v>1</v>
      </c>
      <c r="D411" s="16" t="s">
        <v>42</v>
      </c>
      <c r="E411" s="16" t="s">
        <v>43</v>
      </c>
      <c r="F411" s="17" t="s">
        <v>34</v>
      </c>
      <c r="G411" s="17" t="s">
        <v>37</v>
      </c>
      <c r="H411" s="17" t="s">
        <v>29</v>
      </c>
      <c r="I411" s="17" t="s">
        <v>36</v>
      </c>
      <c r="J411" s="8">
        <v>0.89800000000000002</v>
      </c>
      <c r="K411" s="8">
        <v>1.1379999999999999</v>
      </c>
      <c r="L411" s="8">
        <f t="shared" si="70"/>
        <v>26.726057906458784</v>
      </c>
      <c r="M411" s="9">
        <v>18</v>
      </c>
      <c r="N411" s="9">
        <v>36.799999999999997</v>
      </c>
      <c r="O411" s="10">
        <f t="shared" si="79"/>
        <v>104.44444444444443</v>
      </c>
      <c r="P411" s="11" t="s">
        <v>31</v>
      </c>
      <c r="Q411" s="11" t="s">
        <v>31</v>
      </c>
      <c r="R411" s="33" t="s">
        <v>31</v>
      </c>
      <c r="S411" s="37">
        <f t="shared" si="73"/>
        <v>0.95327633666730438</v>
      </c>
      <c r="T411" s="37">
        <f t="shared" si="74"/>
        <v>2.4269349050443014</v>
      </c>
      <c r="U411" s="42">
        <f t="shared" si="75"/>
        <v>2.255272505103306</v>
      </c>
      <c r="V411" s="41">
        <f t="shared" si="76"/>
        <v>3.0188853441603736</v>
      </c>
      <c r="W411" s="43" t="e">
        <f t="shared" si="77"/>
        <v>#VALUE!</v>
      </c>
      <c r="X411" s="43" t="e">
        <f t="shared" si="78"/>
        <v>#VALUE!</v>
      </c>
    </row>
    <row r="412" spans="1:24" ht="14.25" customHeight="1">
      <c r="A412" s="46"/>
      <c r="B412" s="8">
        <v>3</v>
      </c>
      <c r="C412" s="8">
        <f t="shared" si="51"/>
        <v>1.5</v>
      </c>
      <c r="D412" s="16" t="s">
        <v>42</v>
      </c>
      <c r="E412" s="16" t="s">
        <v>43</v>
      </c>
      <c r="F412" s="17" t="s">
        <v>34</v>
      </c>
      <c r="G412" s="17" t="s">
        <v>37</v>
      </c>
      <c r="H412" s="17" t="s">
        <v>29</v>
      </c>
      <c r="I412" s="17" t="s">
        <v>36</v>
      </c>
      <c r="J412" s="8">
        <v>0.89800000000000002</v>
      </c>
      <c r="K412" s="8">
        <v>1.3129999999999999</v>
      </c>
      <c r="L412" s="8">
        <f t="shared" si="70"/>
        <v>46.213808463251659</v>
      </c>
      <c r="M412" s="9">
        <v>18</v>
      </c>
      <c r="N412" s="9">
        <v>38.4</v>
      </c>
      <c r="O412" s="10">
        <f t="shared" si="79"/>
        <v>113.33333333333333</v>
      </c>
      <c r="P412" s="11" t="s">
        <v>31</v>
      </c>
      <c r="Q412" s="11" t="s">
        <v>31</v>
      </c>
      <c r="R412" s="33" t="s">
        <v>31</v>
      </c>
      <c r="S412" s="37">
        <f t="shared" si="73"/>
        <v>0.95327633666730438</v>
      </c>
      <c r="T412" s="37">
        <f t="shared" si="74"/>
        <v>2.6647717600447884</v>
      </c>
      <c r="U412" s="42">
        <f t="shared" si="75"/>
        <v>2.255272505103306</v>
      </c>
      <c r="V412" s="41">
        <f t="shared" si="76"/>
        <v>3.0543576623225928</v>
      </c>
      <c r="W412" s="43" t="e">
        <f t="shared" si="77"/>
        <v>#VALUE!</v>
      </c>
      <c r="X412" s="43" t="e">
        <f t="shared" si="78"/>
        <v>#VALUE!</v>
      </c>
    </row>
    <row r="413" spans="1:24" ht="14.25" customHeight="1">
      <c r="A413" s="46"/>
      <c r="B413" s="8">
        <v>5</v>
      </c>
      <c r="C413" s="8">
        <f t="shared" si="51"/>
        <v>2.5</v>
      </c>
      <c r="D413" s="16" t="s">
        <v>42</v>
      </c>
      <c r="E413" s="16" t="s">
        <v>43</v>
      </c>
      <c r="F413" s="17" t="s">
        <v>34</v>
      </c>
      <c r="G413" s="17" t="s">
        <v>37</v>
      </c>
      <c r="H413" s="17" t="s">
        <v>29</v>
      </c>
      <c r="I413" s="17" t="s">
        <v>36</v>
      </c>
      <c r="J413" s="8">
        <v>0.89800000000000002</v>
      </c>
      <c r="K413" s="8">
        <v>1.419</v>
      </c>
      <c r="L413" s="8">
        <f t="shared" si="70"/>
        <v>58.017817371937639</v>
      </c>
      <c r="M413" s="9">
        <v>18</v>
      </c>
      <c r="N413" s="9">
        <v>42.1</v>
      </c>
      <c r="O413" s="10">
        <f t="shared" si="79"/>
        <v>133.88888888888891</v>
      </c>
      <c r="P413" s="11" t="s">
        <v>31</v>
      </c>
      <c r="Q413" s="11" t="s">
        <v>31</v>
      </c>
      <c r="R413" s="33" t="s">
        <v>31</v>
      </c>
      <c r="S413" s="37">
        <f t="shared" si="73"/>
        <v>0.95327633666730438</v>
      </c>
      <c r="T413" s="37">
        <f t="shared" si="74"/>
        <v>2.7635613866322202</v>
      </c>
      <c r="U413" s="42">
        <f t="shared" si="75"/>
        <v>2.255272505103306</v>
      </c>
      <c r="V413" s="41">
        <f t="shared" si="76"/>
        <v>3.1267445374715623</v>
      </c>
      <c r="W413" s="43" t="e">
        <f t="shared" si="77"/>
        <v>#VALUE!</v>
      </c>
      <c r="X413" s="43" t="e">
        <f t="shared" si="78"/>
        <v>#VALUE!</v>
      </c>
    </row>
    <row r="414" spans="1:24" ht="14.25" customHeight="1">
      <c r="A414" s="46"/>
      <c r="B414" s="8">
        <v>12</v>
      </c>
      <c r="C414" s="8">
        <f t="shared" si="51"/>
        <v>6</v>
      </c>
      <c r="D414" s="16" t="s">
        <v>42</v>
      </c>
      <c r="E414" s="16" t="s">
        <v>43</v>
      </c>
      <c r="F414" s="17" t="s">
        <v>34</v>
      </c>
      <c r="G414" s="17" t="s">
        <v>37</v>
      </c>
      <c r="H414" s="17" t="s">
        <v>29</v>
      </c>
      <c r="I414" s="17" t="s">
        <v>36</v>
      </c>
      <c r="J414" s="8">
        <v>0.89800000000000002</v>
      </c>
      <c r="K414" s="8">
        <v>0.91600000000000004</v>
      </c>
      <c r="L414" s="8">
        <f t="shared" si="70"/>
        <v>2.0044543429844115</v>
      </c>
      <c r="M414" s="9">
        <v>18</v>
      </c>
      <c r="N414" s="9">
        <v>20.9</v>
      </c>
      <c r="O414" s="10">
        <f t="shared" si="79"/>
        <v>16.111111111111104</v>
      </c>
      <c r="P414" s="11" t="s">
        <v>31</v>
      </c>
      <c r="Q414" s="11" t="s">
        <v>31</v>
      </c>
      <c r="R414" s="33" t="s">
        <v>31</v>
      </c>
      <c r="S414" s="37">
        <f t="shared" si="73"/>
        <v>0.95327633666730438</v>
      </c>
      <c r="T414" s="37">
        <f t="shared" si="74"/>
        <v>1.301996168436002</v>
      </c>
      <c r="U414" s="42">
        <f t="shared" si="75"/>
        <v>2.255272505103306</v>
      </c>
      <c r="V414" s="41">
        <f t="shared" si="76"/>
        <v>2.2071254927956496</v>
      </c>
      <c r="W414" s="43" t="e">
        <f t="shared" si="77"/>
        <v>#VALUE!</v>
      </c>
      <c r="X414" s="43" t="e">
        <f t="shared" si="78"/>
        <v>#VALUE!</v>
      </c>
    </row>
    <row r="415" spans="1:24" ht="14.25" customHeight="1">
      <c r="A415" s="46"/>
      <c r="B415" s="8">
        <v>2</v>
      </c>
      <c r="C415" s="8">
        <f t="shared" si="51"/>
        <v>1</v>
      </c>
      <c r="D415" s="16" t="s">
        <v>42</v>
      </c>
      <c r="E415" s="16" t="s">
        <v>43</v>
      </c>
      <c r="F415" s="17" t="s">
        <v>34</v>
      </c>
      <c r="G415" s="17" t="s">
        <v>37</v>
      </c>
      <c r="H415" s="17" t="s">
        <v>29</v>
      </c>
      <c r="I415" s="17" t="s">
        <v>36</v>
      </c>
      <c r="J415" s="8">
        <v>1.1890000000000001</v>
      </c>
      <c r="K415" s="8">
        <v>1.3720000000000001</v>
      </c>
      <c r="L415" s="8">
        <f t="shared" si="70"/>
        <v>15.391084945332215</v>
      </c>
      <c r="M415" s="9">
        <v>25.8</v>
      </c>
      <c r="N415" s="9">
        <v>37.799999999999997</v>
      </c>
      <c r="O415" s="10">
        <f t="shared" si="79"/>
        <v>46.511627906976727</v>
      </c>
      <c r="P415" s="11" t="s">
        <v>31</v>
      </c>
      <c r="Q415" s="11" t="s">
        <v>31</v>
      </c>
      <c r="R415" s="33" t="s">
        <v>31</v>
      </c>
      <c r="S415" s="37">
        <f t="shared" si="73"/>
        <v>1.0751818546186915</v>
      </c>
      <c r="T415" s="37">
        <f t="shared" si="74"/>
        <v>2.1872692351117382</v>
      </c>
      <c r="U415" s="42">
        <f t="shared" si="75"/>
        <v>2.4116197059632301</v>
      </c>
      <c r="V415" s="41">
        <f t="shared" si="76"/>
        <v>2.6675615400843946</v>
      </c>
      <c r="W415" s="43" t="e">
        <f t="shared" si="77"/>
        <v>#VALUE!</v>
      </c>
      <c r="X415" s="43" t="e">
        <f t="shared" si="78"/>
        <v>#VALUE!</v>
      </c>
    </row>
    <row r="416" spans="1:24" ht="14.25" customHeight="1">
      <c r="A416" s="49"/>
      <c r="B416" s="8">
        <v>3</v>
      </c>
      <c r="C416" s="8">
        <f t="shared" si="51"/>
        <v>1.5</v>
      </c>
      <c r="D416" s="16" t="s">
        <v>42</v>
      </c>
      <c r="E416" s="16" t="s">
        <v>43</v>
      </c>
      <c r="F416" s="17" t="s">
        <v>34</v>
      </c>
      <c r="G416" s="17" t="s">
        <v>37</v>
      </c>
      <c r="H416" s="17" t="s">
        <v>29</v>
      </c>
      <c r="I416" s="17" t="s">
        <v>36</v>
      </c>
      <c r="J416" s="8">
        <v>1.1890000000000001</v>
      </c>
      <c r="K416" s="8">
        <v>1.4019999999999999</v>
      </c>
      <c r="L416" s="8">
        <f t="shared" si="70"/>
        <v>17.914213624894856</v>
      </c>
      <c r="M416" s="9">
        <v>25.8</v>
      </c>
      <c r="N416" s="9">
        <v>40.799999999999997</v>
      </c>
      <c r="O416" s="10">
        <f t="shared" si="79"/>
        <v>58.139534883720913</v>
      </c>
      <c r="P416" s="11" t="s">
        <v>31</v>
      </c>
      <c r="Q416" s="11" t="s">
        <v>31</v>
      </c>
      <c r="R416" s="33" t="s">
        <v>31</v>
      </c>
      <c r="S416" s="37">
        <f t="shared" si="73"/>
        <v>1.0751818546186915</v>
      </c>
      <c r="T416" s="37">
        <f t="shared" si="74"/>
        <v>2.2531977488200456</v>
      </c>
      <c r="U416" s="42">
        <f t="shared" si="75"/>
        <v>2.4116197059632301</v>
      </c>
      <c r="V416" s="41">
        <f t="shared" si="76"/>
        <v>2.7644715530924509</v>
      </c>
      <c r="W416" s="43" t="e">
        <f t="shared" si="77"/>
        <v>#VALUE!</v>
      </c>
      <c r="X416" s="43" t="e">
        <f t="shared" si="78"/>
        <v>#VALUE!</v>
      </c>
    </row>
    <row r="417" spans="1:24" ht="14.25" customHeight="1">
      <c r="A417" s="49"/>
      <c r="B417" s="8">
        <v>5</v>
      </c>
      <c r="C417" s="8">
        <f t="shared" si="51"/>
        <v>2.5</v>
      </c>
      <c r="D417" s="16" t="s">
        <v>42</v>
      </c>
      <c r="E417" s="16" t="s">
        <v>43</v>
      </c>
      <c r="F417" s="17" t="s">
        <v>34</v>
      </c>
      <c r="G417" s="17" t="s">
        <v>37</v>
      </c>
      <c r="H417" s="17" t="s">
        <v>29</v>
      </c>
      <c r="I417" s="17" t="s">
        <v>36</v>
      </c>
      <c r="J417" s="8">
        <v>1.1890000000000001</v>
      </c>
      <c r="K417" s="8">
        <v>1.5660000000000001</v>
      </c>
      <c r="L417" s="8">
        <f t="shared" si="70"/>
        <v>31.707317073170731</v>
      </c>
      <c r="M417" s="9">
        <v>25.8</v>
      </c>
      <c r="N417" s="9">
        <v>42.4</v>
      </c>
      <c r="O417" s="10">
        <f t="shared" si="79"/>
        <v>64.341085271317823</v>
      </c>
      <c r="P417" s="11" t="s">
        <v>31</v>
      </c>
      <c r="Q417" s="11" t="s">
        <v>31</v>
      </c>
      <c r="R417" s="33" t="s">
        <v>31</v>
      </c>
      <c r="S417" s="37">
        <f t="shared" si="73"/>
        <v>1.0751818546186915</v>
      </c>
      <c r="T417" s="37">
        <f t="shared" si="74"/>
        <v>2.501159495587101</v>
      </c>
      <c r="U417" s="42">
        <f t="shared" si="75"/>
        <v>2.4116197059632301</v>
      </c>
      <c r="V417" s="41">
        <f t="shared" si="76"/>
        <v>2.8084883820768249</v>
      </c>
      <c r="W417" s="43" t="e">
        <f t="shared" si="77"/>
        <v>#VALUE!</v>
      </c>
      <c r="X417" s="43" t="e">
        <f t="shared" si="78"/>
        <v>#VALUE!</v>
      </c>
    </row>
    <row r="418" spans="1:24" ht="14.25" customHeight="1">
      <c r="A418" s="50"/>
      <c r="B418" s="8">
        <v>12</v>
      </c>
      <c r="C418" s="8">
        <f t="shared" si="51"/>
        <v>6</v>
      </c>
      <c r="D418" s="16" t="s">
        <v>42</v>
      </c>
      <c r="E418" s="16" t="s">
        <v>43</v>
      </c>
      <c r="F418" s="17" t="s">
        <v>34</v>
      </c>
      <c r="G418" s="17" t="s">
        <v>37</v>
      </c>
      <c r="H418" s="17" t="s">
        <v>29</v>
      </c>
      <c r="I418" s="17" t="s">
        <v>36</v>
      </c>
      <c r="J418" s="8">
        <v>1.1890000000000001</v>
      </c>
      <c r="K418" s="8">
        <v>1.105</v>
      </c>
      <c r="L418" s="8">
        <f t="shared" si="70"/>
        <v>-7.0647603027754471</v>
      </c>
      <c r="M418" s="9">
        <v>25.8</v>
      </c>
      <c r="N418" s="9">
        <v>28.1</v>
      </c>
      <c r="O418" s="10">
        <f t="shared" si="79"/>
        <v>8.9147286821705443</v>
      </c>
      <c r="P418" s="11" t="s">
        <v>31</v>
      </c>
      <c r="Q418" s="11" t="s">
        <v>31</v>
      </c>
      <c r="R418" s="33" t="s">
        <v>31</v>
      </c>
      <c r="S418" s="37">
        <f t="shared" si="73"/>
        <v>1.0751818546186915</v>
      </c>
      <c r="T418" s="37" t="e">
        <f t="shared" si="74"/>
        <v>#NUM!</v>
      </c>
      <c r="U418" s="42">
        <f t="shared" si="75"/>
        <v>2.4116197059632301</v>
      </c>
      <c r="V418" s="41">
        <f t="shared" si="76"/>
        <v>1.9501081300543628</v>
      </c>
      <c r="W418" s="43" t="e">
        <f t="shared" si="77"/>
        <v>#VALUE!</v>
      </c>
      <c r="X418" s="43" t="e">
        <f t="shared" si="78"/>
        <v>#VALUE!</v>
      </c>
    </row>
    <row r="419" spans="1:24" ht="14.25" customHeight="1">
      <c r="A419" s="45" t="s">
        <v>183</v>
      </c>
      <c r="B419" s="8">
        <v>1</v>
      </c>
      <c r="C419" s="8">
        <f t="shared" si="51"/>
        <v>0.5</v>
      </c>
      <c r="D419" s="16" t="s">
        <v>42</v>
      </c>
      <c r="E419" s="16" t="s">
        <v>43</v>
      </c>
      <c r="F419" s="17" t="s">
        <v>34</v>
      </c>
      <c r="G419" s="17" t="s">
        <v>37</v>
      </c>
      <c r="H419" s="17" t="s">
        <v>29</v>
      </c>
      <c r="I419" s="17" t="s">
        <v>51</v>
      </c>
      <c r="J419" s="8">
        <v>2.88</v>
      </c>
      <c r="K419" s="8">
        <v>3.22</v>
      </c>
      <c r="L419" s="8">
        <f t="shared" si="70"/>
        <v>11.805555555555566</v>
      </c>
      <c r="M419" s="9">
        <v>117.73</v>
      </c>
      <c r="N419" s="9">
        <v>113.93</v>
      </c>
      <c r="O419" s="10">
        <f t="shared" si="79"/>
        <v>-3.2277244542597443</v>
      </c>
      <c r="P419" s="11">
        <v>4.84</v>
      </c>
      <c r="Q419" s="11">
        <v>4.13</v>
      </c>
      <c r="R419" s="33">
        <f t="shared" si="72"/>
        <v>-14.669421487603303</v>
      </c>
      <c r="S419" s="37">
        <f t="shared" si="73"/>
        <v>1.4593924877592308</v>
      </c>
      <c r="T419" s="37">
        <f t="shared" si="74"/>
        <v>2.0720864292830248</v>
      </c>
      <c r="U419" s="42">
        <f t="shared" si="75"/>
        <v>3.0708871440185406</v>
      </c>
      <c r="V419" s="41" t="e">
        <f t="shared" si="76"/>
        <v>#NUM!</v>
      </c>
      <c r="W419" s="43">
        <f t="shared" si="77"/>
        <v>1.6848453616444126</v>
      </c>
      <c r="X419" s="43" t="e">
        <f t="shared" si="78"/>
        <v>#NUM!</v>
      </c>
    </row>
    <row r="420" spans="1:24" ht="14.25" customHeight="1">
      <c r="A420" s="46"/>
      <c r="B420" s="8">
        <v>3</v>
      </c>
      <c r="C420" s="8">
        <f t="shared" si="51"/>
        <v>1.5</v>
      </c>
      <c r="D420" s="16" t="s">
        <v>42</v>
      </c>
      <c r="E420" s="16" t="s">
        <v>43</v>
      </c>
      <c r="F420" s="17" t="s">
        <v>34</v>
      </c>
      <c r="G420" s="17" t="s">
        <v>37</v>
      </c>
      <c r="H420" s="17" t="s">
        <v>29</v>
      </c>
      <c r="I420" s="17" t="s">
        <v>51</v>
      </c>
      <c r="J420" s="8">
        <v>2.88</v>
      </c>
      <c r="K420" s="8">
        <v>3.38</v>
      </c>
      <c r="L420" s="8">
        <f t="shared" si="70"/>
        <v>17.361111111111111</v>
      </c>
      <c r="M420" s="9">
        <v>117.73</v>
      </c>
      <c r="N420" s="9">
        <v>84.85</v>
      </c>
      <c r="O420" s="10">
        <f t="shared" si="79"/>
        <v>-27.928310541068551</v>
      </c>
      <c r="P420" s="11">
        <v>4.84</v>
      </c>
      <c r="Q420" s="11">
        <v>2.4900000000000002</v>
      </c>
      <c r="R420" s="33">
        <f t="shared" si="72"/>
        <v>-48.553719008264459</v>
      </c>
      <c r="S420" s="37">
        <f t="shared" si="73"/>
        <v>1.4593924877592308</v>
      </c>
      <c r="T420" s="37">
        <f t="shared" si="74"/>
        <v>2.2395775165767882</v>
      </c>
      <c r="U420" s="42">
        <f t="shared" si="75"/>
        <v>3.0708871440185406</v>
      </c>
      <c r="V420" s="41" t="e">
        <f t="shared" si="76"/>
        <v>#NUM!</v>
      </c>
      <c r="W420" s="43">
        <f t="shared" si="77"/>
        <v>1.6848453616444126</v>
      </c>
      <c r="X420" s="43" t="e">
        <f t="shared" si="78"/>
        <v>#NUM!</v>
      </c>
    </row>
    <row r="421" spans="1:24" ht="14.25" customHeight="1">
      <c r="A421" s="46"/>
      <c r="B421" s="8">
        <v>5</v>
      </c>
      <c r="C421" s="8">
        <f t="shared" si="51"/>
        <v>2.5</v>
      </c>
      <c r="D421" s="16" t="s">
        <v>42</v>
      </c>
      <c r="E421" s="16" t="s">
        <v>43</v>
      </c>
      <c r="F421" s="17" t="s">
        <v>34</v>
      </c>
      <c r="G421" s="17" t="s">
        <v>37</v>
      </c>
      <c r="H421" s="17" t="s">
        <v>29</v>
      </c>
      <c r="I421" s="17" t="s">
        <v>51</v>
      </c>
      <c r="J421" s="8">
        <v>2.88</v>
      </c>
      <c r="K421" s="8">
        <v>3.5</v>
      </c>
      <c r="L421" s="8">
        <f t="shared" si="70"/>
        <v>21.527777777777782</v>
      </c>
      <c r="M421" s="9">
        <v>117.73</v>
      </c>
      <c r="N421" s="9">
        <v>83.41</v>
      </c>
      <c r="O421" s="10">
        <f t="shared" si="79"/>
        <v>-29.151448228998561</v>
      </c>
      <c r="P421" s="11">
        <v>4.84</v>
      </c>
      <c r="Q421" s="11">
        <v>2.4300000000000002</v>
      </c>
      <c r="R421" s="33">
        <f t="shared" si="72"/>
        <v>-49.793388429752063</v>
      </c>
      <c r="S421" s="37">
        <f t="shared" si="73"/>
        <v>1.4593924877592308</v>
      </c>
      <c r="T421" s="37">
        <f t="shared" si="74"/>
        <v>2.3329992017390233</v>
      </c>
      <c r="U421" s="42">
        <f t="shared" si="75"/>
        <v>3.0708871440185406</v>
      </c>
      <c r="V421" s="41" t="e">
        <f t="shared" si="76"/>
        <v>#NUM!</v>
      </c>
      <c r="W421" s="43">
        <f t="shared" si="77"/>
        <v>1.6848453616444126</v>
      </c>
      <c r="X421" s="43" t="e">
        <f t="shared" si="78"/>
        <v>#NUM!</v>
      </c>
    </row>
    <row r="422" spans="1:24" ht="14.25" customHeight="1">
      <c r="A422" s="46"/>
      <c r="B422" s="8">
        <v>1</v>
      </c>
      <c r="C422" s="8">
        <f t="shared" si="51"/>
        <v>0.5</v>
      </c>
      <c r="D422" s="16" t="s">
        <v>42</v>
      </c>
      <c r="E422" s="16" t="s">
        <v>43</v>
      </c>
      <c r="F422" s="17" t="s">
        <v>34</v>
      </c>
      <c r="G422" s="17" t="s">
        <v>28</v>
      </c>
      <c r="H422" s="17" t="s">
        <v>29</v>
      </c>
      <c r="I422" s="17" t="s">
        <v>51</v>
      </c>
      <c r="J422" s="8">
        <v>3.61</v>
      </c>
      <c r="K422" s="8">
        <v>3.92</v>
      </c>
      <c r="L422" s="8">
        <f t="shared" si="70"/>
        <v>8.5872576177285325</v>
      </c>
      <c r="M422" s="9">
        <v>136.79</v>
      </c>
      <c r="N422" s="9">
        <v>143.31</v>
      </c>
      <c r="O422" s="10">
        <f t="shared" si="79"/>
        <v>4.7664302946121868</v>
      </c>
      <c r="P422" s="11">
        <v>5.27</v>
      </c>
      <c r="Q422" s="11">
        <v>4.47</v>
      </c>
      <c r="R422" s="33">
        <f t="shared" si="72"/>
        <v>-15.180265654648952</v>
      </c>
      <c r="S422" s="37">
        <f t="shared" si="73"/>
        <v>1.5575072019056579</v>
      </c>
      <c r="T422" s="37">
        <f t="shared" si="74"/>
        <v>1.9338544919286147</v>
      </c>
      <c r="U422" s="42">
        <f t="shared" si="75"/>
        <v>3.1360543495510553</v>
      </c>
      <c r="V422" s="41">
        <f t="shared" si="76"/>
        <v>1.6781932461808653</v>
      </c>
      <c r="W422" s="43">
        <f t="shared" si="77"/>
        <v>1.7218106152125465</v>
      </c>
      <c r="X422" s="43" t="e">
        <f t="shared" si="78"/>
        <v>#NUM!</v>
      </c>
    </row>
    <row r="423" spans="1:24" ht="14.25" customHeight="1">
      <c r="A423" s="46"/>
      <c r="B423" s="8">
        <v>3</v>
      </c>
      <c r="C423" s="8">
        <f t="shared" si="51"/>
        <v>1.5</v>
      </c>
      <c r="D423" s="16" t="s">
        <v>42</v>
      </c>
      <c r="E423" s="16" t="s">
        <v>43</v>
      </c>
      <c r="F423" s="17" t="s">
        <v>34</v>
      </c>
      <c r="G423" s="17" t="s">
        <v>28</v>
      </c>
      <c r="H423" s="17" t="s">
        <v>29</v>
      </c>
      <c r="I423" s="17" t="s">
        <v>51</v>
      </c>
      <c r="J423" s="8">
        <v>3.61</v>
      </c>
      <c r="K423" s="8">
        <v>4.16</v>
      </c>
      <c r="L423" s="8">
        <f t="shared" si="70"/>
        <v>15.235457063711918</v>
      </c>
      <c r="M423" s="9">
        <v>136.79</v>
      </c>
      <c r="N423" s="9">
        <v>149.4</v>
      </c>
      <c r="O423" s="10">
        <f t="shared" si="79"/>
        <v>9.2185101250091481</v>
      </c>
      <c r="P423" s="11">
        <v>5.27</v>
      </c>
      <c r="Q423" s="11">
        <v>4.8499999999999996</v>
      </c>
      <c r="R423" s="33">
        <f t="shared" si="72"/>
        <v>-7.9696394686907004</v>
      </c>
      <c r="S423" s="37">
        <f t="shared" si="73"/>
        <v>1.5575072019056579</v>
      </c>
      <c r="T423" s="37">
        <f t="shared" si="74"/>
        <v>2.1828554875885859</v>
      </c>
      <c r="U423" s="42">
        <f t="shared" si="75"/>
        <v>3.1360543495510553</v>
      </c>
      <c r="V423" s="41">
        <f t="shared" si="76"/>
        <v>1.9646607370220266</v>
      </c>
      <c r="W423" s="43">
        <f t="shared" si="77"/>
        <v>1.7218106152125465</v>
      </c>
      <c r="X423" s="43" t="e">
        <f t="shared" si="78"/>
        <v>#NUM!</v>
      </c>
    </row>
    <row r="424" spans="1:24" ht="14.25" customHeight="1">
      <c r="A424" s="46"/>
      <c r="B424" s="8">
        <v>5</v>
      </c>
      <c r="C424" s="8">
        <f t="shared" si="51"/>
        <v>2.5</v>
      </c>
      <c r="D424" s="16" t="s">
        <v>42</v>
      </c>
      <c r="E424" s="16" t="s">
        <v>43</v>
      </c>
      <c r="F424" s="17" t="s">
        <v>34</v>
      </c>
      <c r="G424" s="17" t="s">
        <v>28</v>
      </c>
      <c r="H424" s="17" t="s">
        <v>29</v>
      </c>
      <c r="I424" s="17" t="s">
        <v>51</v>
      </c>
      <c r="J424" s="8">
        <v>3.61</v>
      </c>
      <c r="K424" s="8">
        <v>4.33</v>
      </c>
      <c r="L424" s="8">
        <f t="shared" si="70"/>
        <v>19.944598337950143</v>
      </c>
      <c r="M424" s="9">
        <v>136.79</v>
      </c>
      <c r="N424" s="9">
        <v>141.47999999999999</v>
      </c>
      <c r="O424" s="10">
        <f t="shared" si="79"/>
        <v>3.4286132027194958</v>
      </c>
      <c r="P424" s="11">
        <v>5.27</v>
      </c>
      <c r="Q424" s="11">
        <v>3.92</v>
      </c>
      <c r="R424" s="33">
        <f t="shared" si="72"/>
        <v>-25.616698292220107</v>
      </c>
      <c r="S424" s="37">
        <f t="shared" si="73"/>
        <v>1.5575072019056579</v>
      </c>
      <c r="T424" s="37">
        <f t="shared" si="74"/>
        <v>2.2998252945256108</v>
      </c>
      <c r="U424" s="42">
        <f t="shared" si="75"/>
        <v>3.1360543495510553</v>
      </c>
      <c r="V424" s="41">
        <f t="shared" si="76"/>
        <v>1.5351184931640276</v>
      </c>
      <c r="W424" s="43">
        <f t="shared" si="77"/>
        <v>1.7218106152125465</v>
      </c>
      <c r="X424" s="43" t="e">
        <f t="shared" si="78"/>
        <v>#NUM!</v>
      </c>
    </row>
    <row r="425" spans="1:24" ht="14.25" customHeight="1">
      <c r="A425" s="49"/>
      <c r="B425" s="8">
        <v>1</v>
      </c>
      <c r="C425" s="8">
        <f t="shared" si="51"/>
        <v>0.5</v>
      </c>
      <c r="D425" s="16" t="s">
        <v>42</v>
      </c>
      <c r="E425" s="16" t="s">
        <v>43</v>
      </c>
      <c r="F425" s="17" t="s">
        <v>34</v>
      </c>
      <c r="G425" s="17" t="s">
        <v>37</v>
      </c>
      <c r="H425" s="17" t="s">
        <v>29</v>
      </c>
      <c r="I425" s="17" t="s">
        <v>51</v>
      </c>
      <c r="J425" s="8">
        <v>3.61</v>
      </c>
      <c r="K425" s="8">
        <v>3.91</v>
      </c>
      <c r="L425" s="8">
        <f t="shared" si="70"/>
        <v>8.3102493074792321</v>
      </c>
      <c r="M425" s="9">
        <v>136.79</v>
      </c>
      <c r="N425" s="9">
        <v>134.69999999999999</v>
      </c>
      <c r="O425" s="10">
        <f t="shared" si="79"/>
        <v>-1.5278894656042135</v>
      </c>
      <c r="P425" s="11">
        <v>5.27</v>
      </c>
      <c r="Q425" s="11">
        <v>4.01</v>
      </c>
      <c r="R425" s="33">
        <f t="shared" si="72"/>
        <v>-23.908918406072104</v>
      </c>
      <c r="S425" s="37">
        <f t="shared" si="73"/>
        <v>1.5575072019056579</v>
      </c>
      <c r="T425" s="37">
        <f t="shared" si="74"/>
        <v>1.9196140528140049</v>
      </c>
      <c r="U425" s="42">
        <f t="shared" si="75"/>
        <v>3.1360543495510553</v>
      </c>
      <c r="V425" s="41" t="e">
        <f t="shared" si="76"/>
        <v>#NUM!</v>
      </c>
      <c r="W425" s="43">
        <f t="shared" si="77"/>
        <v>1.7218106152125465</v>
      </c>
      <c r="X425" s="43" t="e">
        <f t="shared" si="78"/>
        <v>#NUM!</v>
      </c>
    </row>
    <row r="426" spans="1:24" ht="14.25" customHeight="1">
      <c r="A426" s="49"/>
      <c r="B426" s="8">
        <v>3</v>
      </c>
      <c r="C426" s="8">
        <f t="shared" si="51"/>
        <v>1.5</v>
      </c>
      <c r="D426" s="16" t="s">
        <v>42</v>
      </c>
      <c r="E426" s="16" t="s">
        <v>43</v>
      </c>
      <c r="F426" s="17" t="s">
        <v>34</v>
      </c>
      <c r="G426" s="17" t="s">
        <v>37</v>
      </c>
      <c r="H426" s="17" t="s">
        <v>29</v>
      </c>
      <c r="I426" s="17" t="s">
        <v>51</v>
      </c>
      <c r="J426" s="8">
        <v>3.61</v>
      </c>
      <c r="K426" s="8">
        <v>4.1500000000000004</v>
      </c>
      <c r="L426" s="8">
        <f t="shared" si="70"/>
        <v>14.958448753462616</v>
      </c>
      <c r="M426" s="9">
        <v>136.79</v>
      </c>
      <c r="N426" s="9">
        <v>128.33000000000001</v>
      </c>
      <c r="O426" s="10">
        <f t="shared" si="79"/>
        <v>-6.1846626215366474</v>
      </c>
      <c r="P426" s="11">
        <v>5.27</v>
      </c>
      <c r="Q426" s="11">
        <v>3.46</v>
      </c>
      <c r="R426" s="33">
        <f t="shared" si="72"/>
        <v>-34.345351043643255</v>
      </c>
      <c r="S426" s="37">
        <f t="shared" si="73"/>
        <v>1.5575072019056579</v>
      </c>
      <c r="T426" s="37">
        <f t="shared" si="74"/>
        <v>2.1748865579173109</v>
      </c>
      <c r="U426" s="42">
        <f t="shared" si="75"/>
        <v>3.1360543495510553</v>
      </c>
      <c r="V426" s="41" t="e">
        <f t="shared" si="76"/>
        <v>#NUM!</v>
      </c>
      <c r="W426" s="43">
        <f t="shared" si="77"/>
        <v>1.7218106152125465</v>
      </c>
      <c r="X426" s="43" t="e">
        <f t="shared" si="78"/>
        <v>#NUM!</v>
      </c>
    </row>
    <row r="427" spans="1:24" ht="14.25" customHeight="1">
      <c r="A427" s="50"/>
      <c r="B427" s="8">
        <v>5</v>
      </c>
      <c r="C427" s="8">
        <f t="shared" si="51"/>
        <v>2.5</v>
      </c>
      <c r="D427" s="16" t="s">
        <v>42</v>
      </c>
      <c r="E427" s="16" t="s">
        <v>43</v>
      </c>
      <c r="F427" s="17" t="s">
        <v>34</v>
      </c>
      <c r="G427" s="17" t="s">
        <v>37</v>
      </c>
      <c r="H427" s="17" t="s">
        <v>29</v>
      </c>
      <c r="I427" s="17" t="s">
        <v>51</v>
      </c>
      <c r="J427" s="8">
        <v>3.61</v>
      </c>
      <c r="K427" s="8">
        <v>4.3099999999999996</v>
      </c>
      <c r="L427" s="8">
        <f t="shared" si="70"/>
        <v>19.390581717451518</v>
      </c>
      <c r="M427" s="9">
        <v>136.79</v>
      </c>
      <c r="N427" s="9">
        <v>118.26</v>
      </c>
      <c r="O427" s="10">
        <f t="shared" si="79"/>
        <v>-13.546311864902396</v>
      </c>
      <c r="P427" s="11">
        <v>5.27</v>
      </c>
      <c r="Q427" s="11">
        <v>3</v>
      </c>
      <c r="R427" s="33">
        <f t="shared" si="72"/>
        <v>-43.074003795066403</v>
      </c>
      <c r="S427" s="37">
        <f t="shared" si="73"/>
        <v>1.5575072019056579</v>
      </c>
      <c r="T427" s="37">
        <f t="shared" si="74"/>
        <v>2.2875908381085988</v>
      </c>
      <c r="U427" s="42">
        <f t="shared" si="75"/>
        <v>3.1360543495510553</v>
      </c>
      <c r="V427" s="41" t="e">
        <f t="shared" si="76"/>
        <v>#NUM!</v>
      </c>
      <c r="W427" s="43">
        <f t="shared" si="77"/>
        <v>1.7218106152125465</v>
      </c>
      <c r="X427" s="43" t="e">
        <f t="shared" si="78"/>
        <v>#NUM!</v>
      </c>
    </row>
    <row r="428" spans="1:24" ht="14.25" customHeight="1">
      <c r="A428" s="45" t="s">
        <v>184</v>
      </c>
      <c r="B428" s="8">
        <v>1</v>
      </c>
      <c r="C428" s="8">
        <f t="shared" si="51"/>
        <v>0.5</v>
      </c>
      <c r="D428" s="16" t="s">
        <v>42</v>
      </c>
      <c r="E428" s="16" t="s">
        <v>43</v>
      </c>
      <c r="F428" s="17" t="s">
        <v>59</v>
      </c>
      <c r="G428" s="17" t="s">
        <v>37</v>
      </c>
      <c r="H428" s="17" t="s">
        <v>29</v>
      </c>
      <c r="I428" s="17" t="s">
        <v>185</v>
      </c>
      <c r="J428" s="8">
        <v>3.02</v>
      </c>
      <c r="K428" s="8">
        <v>3.28</v>
      </c>
      <c r="L428" s="8">
        <f t="shared" si="70"/>
        <v>8.6092715231788013</v>
      </c>
      <c r="M428" s="9">
        <v>211.47</v>
      </c>
      <c r="N428" s="9">
        <v>153.76</v>
      </c>
      <c r="O428" s="10">
        <f t="shared" si="79"/>
        <v>-27.289922920508825</v>
      </c>
      <c r="P428" s="11">
        <v>42.66</v>
      </c>
      <c r="Q428" s="11">
        <v>36.74</v>
      </c>
      <c r="R428" s="33">
        <f t="shared" si="72"/>
        <v>-13.877168307548043</v>
      </c>
      <c r="S428" s="37">
        <f t="shared" si="73"/>
        <v>1.4800069429571505</v>
      </c>
      <c r="T428" s="37">
        <f t="shared" si="74"/>
        <v>1.934966405013667</v>
      </c>
      <c r="U428" s="42">
        <f t="shared" si="75"/>
        <v>3.3252487652875371</v>
      </c>
      <c r="V428" s="41" t="e">
        <f t="shared" si="76"/>
        <v>#NUM!</v>
      </c>
      <c r="W428" s="43">
        <f t="shared" si="77"/>
        <v>2.63002085111341</v>
      </c>
      <c r="X428" s="43" t="e">
        <f t="shared" si="78"/>
        <v>#NUM!</v>
      </c>
    </row>
    <row r="429" spans="1:24" ht="14.25" customHeight="1">
      <c r="A429" s="49"/>
      <c r="B429" s="8">
        <v>3</v>
      </c>
      <c r="C429" s="8">
        <f t="shared" si="51"/>
        <v>1.5</v>
      </c>
      <c r="D429" s="16" t="s">
        <v>42</v>
      </c>
      <c r="E429" s="16" t="s">
        <v>43</v>
      </c>
      <c r="F429" s="17" t="s">
        <v>59</v>
      </c>
      <c r="G429" s="17" t="s">
        <v>37</v>
      </c>
      <c r="H429" s="17" t="s">
        <v>29</v>
      </c>
      <c r="I429" s="17" t="s">
        <v>185</v>
      </c>
      <c r="J429" s="8">
        <v>3.02</v>
      </c>
      <c r="K429" s="8">
        <v>3.44</v>
      </c>
      <c r="L429" s="8">
        <f t="shared" si="70"/>
        <v>13.90728476821192</v>
      </c>
      <c r="M429" s="9">
        <v>211.47</v>
      </c>
      <c r="N429" s="9">
        <v>179.32</v>
      </c>
      <c r="O429" s="10">
        <f t="shared" si="79"/>
        <v>-15.203102094859794</v>
      </c>
      <c r="P429" s="11">
        <v>42.66</v>
      </c>
      <c r="Q429" s="11">
        <v>40.020000000000003</v>
      </c>
      <c r="R429" s="33">
        <f t="shared" si="72"/>
        <v>-6.1884669479606043</v>
      </c>
      <c r="S429" s="37">
        <f t="shared" si="73"/>
        <v>1.4800069429571505</v>
      </c>
      <c r="T429" s="37">
        <f t="shared" si="74"/>
        <v>2.1432423474407498</v>
      </c>
      <c r="U429" s="42">
        <f t="shared" si="75"/>
        <v>3.3252487652875371</v>
      </c>
      <c r="V429" s="41" t="e">
        <f t="shared" si="76"/>
        <v>#NUM!</v>
      </c>
      <c r="W429" s="43">
        <f t="shared" si="77"/>
        <v>2.63002085111341</v>
      </c>
      <c r="X429" s="43" t="e">
        <f t="shared" si="78"/>
        <v>#NUM!</v>
      </c>
    </row>
    <row r="430" spans="1:24" ht="14.25" customHeight="1">
      <c r="A430" s="49"/>
      <c r="B430" s="8">
        <v>5</v>
      </c>
      <c r="C430" s="8">
        <f t="shared" si="51"/>
        <v>2.5</v>
      </c>
      <c r="D430" s="16" t="s">
        <v>42</v>
      </c>
      <c r="E430" s="16" t="s">
        <v>43</v>
      </c>
      <c r="F430" s="17" t="s">
        <v>59</v>
      </c>
      <c r="G430" s="17" t="s">
        <v>37</v>
      </c>
      <c r="H430" s="17" t="s">
        <v>29</v>
      </c>
      <c r="I430" s="17" t="s">
        <v>185</v>
      </c>
      <c r="J430" s="8">
        <v>3.02</v>
      </c>
      <c r="K430" s="8">
        <v>3.6</v>
      </c>
      <c r="L430" s="8">
        <f t="shared" si="70"/>
        <v>19.205298013245034</v>
      </c>
      <c r="M430" s="9">
        <v>211.47</v>
      </c>
      <c r="N430" s="9">
        <v>231.26</v>
      </c>
      <c r="O430" s="10">
        <f t="shared" si="79"/>
        <v>9.3583014139121339</v>
      </c>
      <c r="P430" s="11">
        <v>42.66</v>
      </c>
      <c r="Q430" s="11">
        <v>41.28</v>
      </c>
      <c r="R430" s="33">
        <f t="shared" si="72"/>
        <v>-3.2348804500703134</v>
      </c>
      <c r="S430" s="37">
        <f t="shared" si="73"/>
        <v>1.4800069429571505</v>
      </c>
      <c r="T430" s="37">
        <f t="shared" si="74"/>
        <v>2.2834210506057868</v>
      </c>
      <c r="U430" s="42">
        <f t="shared" si="75"/>
        <v>3.3252487652875371</v>
      </c>
      <c r="V430" s="41">
        <f t="shared" si="76"/>
        <v>1.9711970289188587</v>
      </c>
      <c r="W430" s="43">
        <f t="shared" si="77"/>
        <v>2.63002085111341</v>
      </c>
      <c r="X430" s="43" t="e">
        <f t="shared" si="78"/>
        <v>#NUM!</v>
      </c>
    </row>
    <row r="431" spans="1:24" ht="14.25" customHeight="1">
      <c r="A431" s="49"/>
      <c r="B431" s="8">
        <v>1</v>
      </c>
      <c r="C431" s="8">
        <f t="shared" si="51"/>
        <v>0.5</v>
      </c>
      <c r="D431" s="16" t="s">
        <v>42</v>
      </c>
      <c r="E431" s="16" t="s">
        <v>43</v>
      </c>
      <c r="F431" s="17" t="s">
        <v>59</v>
      </c>
      <c r="G431" s="17" t="s">
        <v>37</v>
      </c>
      <c r="H431" s="17" t="s">
        <v>29</v>
      </c>
      <c r="I431" s="17" t="s">
        <v>185</v>
      </c>
      <c r="J431" s="8">
        <v>3.12</v>
      </c>
      <c r="K431" s="8">
        <v>3.27</v>
      </c>
      <c r="L431" s="8">
        <f t="shared" si="70"/>
        <v>4.8076923076923048</v>
      </c>
      <c r="M431" s="9">
        <v>126.59</v>
      </c>
      <c r="N431" s="9">
        <v>127.94</v>
      </c>
      <c r="O431" s="10">
        <f t="shared" si="79"/>
        <v>1.0664349474681998</v>
      </c>
      <c r="P431" s="11">
        <v>16.489999999999998</v>
      </c>
      <c r="Q431" s="11">
        <v>23.82</v>
      </c>
      <c r="R431" s="33">
        <f t="shared" si="72"/>
        <v>44.451182534869631</v>
      </c>
      <c r="S431" s="37">
        <f t="shared" si="73"/>
        <v>1.4941545940184429</v>
      </c>
      <c r="T431" s="37">
        <f t="shared" si="74"/>
        <v>1.6819366650372383</v>
      </c>
      <c r="U431" s="42">
        <f t="shared" si="75"/>
        <v>3.1023993998649826</v>
      </c>
      <c r="V431" s="41">
        <f t="shared" si="76"/>
        <v>1.0279343686300215</v>
      </c>
      <c r="W431" s="43">
        <f t="shared" si="77"/>
        <v>2.2172206556445189</v>
      </c>
      <c r="X431" s="43">
        <f t="shared" si="78"/>
        <v>2.6478833189966093</v>
      </c>
    </row>
    <row r="432" spans="1:24" ht="14.25" customHeight="1">
      <c r="A432" s="49"/>
      <c r="B432" s="8">
        <v>3</v>
      </c>
      <c r="C432" s="8">
        <f t="shared" si="51"/>
        <v>1.5</v>
      </c>
      <c r="D432" s="16" t="s">
        <v>42</v>
      </c>
      <c r="E432" s="16" t="s">
        <v>43</v>
      </c>
      <c r="F432" s="17" t="s">
        <v>59</v>
      </c>
      <c r="G432" s="17" t="s">
        <v>37</v>
      </c>
      <c r="H432" s="17" t="s">
        <v>29</v>
      </c>
      <c r="I432" s="17" t="s">
        <v>185</v>
      </c>
      <c r="J432" s="8">
        <v>3.12</v>
      </c>
      <c r="K432" s="8">
        <v>3.45</v>
      </c>
      <c r="L432" s="8">
        <f t="shared" si="70"/>
        <v>10.576923076923078</v>
      </c>
      <c r="M432" s="9">
        <v>126.59</v>
      </c>
      <c r="N432" s="9">
        <v>127.78</v>
      </c>
      <c r="O432" s="10">
        <f t="shared" si="79"/>
        <v>0.94004265739789683</v>
      </c>
      <c r="P432" s="11">
        <v>16.489999999999998</v>
      </c>
      <c r="Q432" s="11">
        <v>23.92</v>
      </c>
      <c r="R432" s="33">
        <f t="shared" si="72"/>
        <v>45.057610673135258</v>
      </c>
      <c r="S432" s="37">
        <f t="shared" si="73"/>
        <v>1.4941545940184429</v>
      </c>
      <c r="T432" s="37">
        <f t="shared" si="74"/>
        <v>2.0243593458594447</v>
      </c>
      <c r="U432" s="42">
        <f t="shared" si="75"/>
        <v>3.1023993998649826</v>
      </c>
      <c r="V432" s="41">
        <f t="shared" si="76"/>
        <v>0.97314756152754722</v>
      </c>
      <c r="W432" s="43">
        <f t="shared" si="77"/>
        <v>2.2172206556445189</v>
      </c>
      <c r="X432" s="43">
        <f t="shared" si="78"/>
        <v>2.6537681581160566</v>
      </c>
    </row>
    <row r="433" spans="1:24" ht="14.25" customHeight="1">
      <c r="A433" s="50"/>
      <c r="B433" s="8">
        <v>5</v>
      </c>
      <c r="C433" s="8">
        <f t="shared" si="51"/>
        <v>2.5</v>
      </c>
      <c r="D433" s="16" t="s">
        <v>42</v>
      </c>
      <c r="E433" s="16" t="s">
        <v>43</v>
      </c>
      <c r="F433" s="17" t="s">
        <v>59</v>
      </c>
      <c r="G433" s="17" t="s">
        <v>37</v>
      </c>
      <c r="H433" s="17" t="s">
        <v>29</v>
      </c>
      <c r="I433" s="17" t="s">
        <v>185</v>
      </c>
      <c r="J433" s="8">
        <v>3.12</v>
      </c>
      <c r="K433" s="8">
        <v>3.58</v>
      </c>
      <c r="L433" s="8">
        <f t="shared" si="70"/>
        <v>14.743589743589741</v>
      </c>
      <c r="M433" s="9">
        <v>126.59</v>
      </c>
      <c r="N433" s="9">
        <v>128.08000000000001</v>
      </c>
      <c r="O433" s="10">
        <f t="shared" si="79"/>
        <v>1.1770282012797291</v>
      </c>
      <c r="P433" s="11">
        <v>16.489999999999998</v>
      </c>
      <c r="Q433" s="11">
        <v>21.23</v>
      </c>
      <c r="R433" s="33">
        <f t="shared" si="72"/>
        <v>28.744693753790191</v>
      </c>
      <c r="S433" s="37">
        <f t="shared" si="73"/>
        <v>1.4941545940184429</v>
      </c>
      <c r="T433" s="37">
        <f t="shared" si="74"/>
        <v>2.168603237663131</v>
      </c>
      <c r="U433" s="42">
        <f t="shared" si="75"/>
        <v>3.1023993998649826</v>
      </c>
      <c r="V433" s="41">
        <f t="shared" si="76"/>
        <v>1.0707868685472941</v>
      </c>
      <c r="W433" s="43">
        <f t="shared" si="77"/>
        <v>2.2172206556445189</v>
      </c>
      <c r="X433" s="43">
        <f t="shared" si="78"/>
        <v>2.4585576860295664</v>
      </c>
    </row>
    <row r="434" spans="1:24" ht="14.25" customHeight="1">
      <c r="A434" s="45" t="s">
        <v>186</v>
      </c>
      <c r="B434" s="8">
        <v>1</v>
      </c>
      <c r="C434" s="8">
        <f t="shared" si="51"/>
        <v>0.5</v>
      </c>
      <c r="D434" s="16" t="s">
        <v>42</v>
      </c>
      <c r="E434" s="16" t="s">
        <v>43</v>
      </c>
      <c r="F434" s="17" t="s">
        <v>34</v>
      </c>
      <c r="G434" s="17" t="s">
        <v>28</v>
      </c>
      <c r="H434" s="17" t="s">
        <v>29</v>
      </c>
      <c r="I434" s="17" t="s">
        <v>185</v>
      </c>
      <c r="J434" s="8">
        <v>4.01</v>
      </c>
      <c r="K434" s="8">
        <v>4.43</v>
      </c>
      <c r="L434" s="8">
        <f t="shared" si="70"/>
        <v>10.473815461346632</v>
      </c>
      <c r="M434" s="9">
        <v>205.81</v>
      </c>
      <c r="N434" s="9">
        <v>228.19</v>
      </c>
      <c r="O434" s="10">
        <f t="shared" si="79"/>
        <v>10.874107186239733</v>
      </c>
      <c r="P434" s="11">
        <v>37.159999999999997</v>
      </c>
      <c r="Q434" s="11">
        <v>41.49</v>
      </c>
      <c r="R434" s="33">
        <f t="shared" si="72"/>
        <v>11.652314316469338</v>
      </c>
      <c r="S434" s="37">
        <f t="shared" si="73"/>
        <v>1.6031443726201822</v>
      </c>
      <c r="T434" s="37">
        <f t="shared" si="74"/>
        <v>2.0201049177777182</v>
      </c>
      <c r="U434" s="42">
        <f t="shared" si="75"/>
        <v>3.3134664726582348</v>
      </c>
      <c r="V434" s="41">
        <f t="shared" si="76"/>
        <v>2.036393609534096</v>
      </c>
      <c r="W434" s="43">
        <f t="shared" si="77"/>
        <v>2.5700757053216039</v>
      </c>
      <c r="X434" s="43">
        <f t="shared" si="78"/>
        <v>2.0664121910317621</v>
      </c>
    </row>
    <row r="435" spans="1:24" ht="14.25" customHeight="1">
      <c r="A435" s="46"/>
      <c r="B435" s="8">
        <v>3</v>
      </c>
      <c r="C435" s="8">
        <f t="shared" si="51"/>
        <v>1.5</v>
      </c>
      <c r="D435" s="16" t="s">
        <v>42</v>
      </c>
      <c r="E435" s="16" t="s">
        <v>43</v>
      </c>
      <c r="F435" s="17" t="s">
        <v>34</v>
      </c>
      <c r="G435" s="17" t="s">
        <v>28</v>
      </c>
      <c r="H435" s="17" t="s">
        <v>29</v>
      </c>
      <c r="I435" s="17" t="s">
        <v>185</v>
      </c>
      <c r="J435" s="8">
        <v>4.01</v>
      </c>
      <c r="K435" s="8">
        <v>4.63</v>
      </c>
      <c r="L435" s="8">
        <f t="shared" si="70"/>
        <v>15.461346633416461</v>
      </c>
      <c r="M435" s="9">
        <v>205.81</v>
      </c>
      <c r="N435" s="9">
        <v>228</v>
      </c>
      <c r="O435" s="10">
        <f t="shared" si="79"/>
        <v>10.781789028715805</v>
      </c>
      <c r="P435" s="11">
        <v>37.159999999999997</v>
      </c>
      <c r="Q435" s="11">
        <v>43.04</v>
      </c>
      <c r="R435" s="33">
        <f t="shared" si="72"/>
        <v>15.823466092572666</v>
      </c>
      <c r="S435" s="37">
        <f t="shared" si="73"/>
        <v>1.6031443726201822</v>
      </c>
      <c r="T435" s="37">
        <f t="shared" si="74"/>
        <v>2.1892473168780717</v>
      </c>
      <c r="U435" s="42">
        <f t="shared" si="75"/>
        <v>3.3134664726582348</v>
      </c>
      <c r="V435" s="41">
        <f t="shared" si="76"/>
        <v>2.0326908295737733</v>
      </c>
      <c r="W435" s="43">
        <f t="shared" si="77"/>
        <v>2.5700757053216039</v>
      </c>
      <c r="X435" s="43">
        <f t="shared" si="78"/>
        <v>2.1993016207545346</v>
      </c>
    </row>
    <row r="436" spans="1:24" ht="14.25" customHeight="1">
      <c r="A436" s="46"/>
      <c r="B436" s="8">
        <v>5</v>
      </c>
      <c r="C436" s="8">
        <f t="shared" si="51"/>
        <v>2.5</v>
      </c>
      <c r="D436" s="16" t="s">
        <v>42</v>
      </c>
      <c r="E436" s="16" t="s">
        <v>43</v>
      </c>
      <c r="F436" s="17" t="s">
        <v>34</v>
      </c>
      <c r="G436" s="17" t="s">
        <v>28</v>
      </c>
      <c r="H436" s="17" t="s">
        <v>29</v>
      </c>
      <c r="I436" s="17" t="s">
        <v>185</v>
      </c>
      <c r="J436" s="8">
        <v>4.01</v>
      </c>
      <c r="K436" s="8">
        <v>4.75</v>
      </c>
      <c r="L436" s="8">
        <f t="shared" si="70"/>
        <v>18.45386533665836</v>
      </c>
      <c r="M436" s="9">
        <v>205.81</v>
      </c>
      <c r="N436" s="9">
        <v>239.79</v>
      </c>
      <c r="O436" s="10">
        <f t="shared" si="79"/>
        <v>16.510373645595447</v>
      </c>
      <c r="P436" s="11">
        <v>37.159999999999997</v>
      </c>
      <c r="Q436" s="11">
        <v>47.78</v>
      </c>
      <c r="R436" s="33">
        <f t="shared" si="72"/>
        <v>28.579117330462878</v>
      </c>
      <c r="S436" s="37">
        <f t="shared" si="73"/>
        <v>1.6031443726201822</v>
      </c>
      <c r="T436" s="37">
        <f t="shared" si="74"/>
        <v>2.2660873471107941</v>
      </c>
      <c r="U436" s="42">
        <f t="shared" si="75"/>
        <v>3.3134664726582348</v>
      </c>
      <c r="V436" s="41">
        <f t="shared" si="76"/>
        <v>2.2177569018747918</v>
      </c>
      <c r="W436" s="43">
        <f t="shared" si="77"/>
        <v>2.5700757053216039</v>
      </c>
      <c r="X436" s="43">
        <f t="shared" si="78"/>
        <v>2.4560488114238463</v>
      </c>
    </row>
    <row r="437" spans="1:24" ht="14.25" customHeight="1">
      <c r="A437" s="46"/>
      <c r="B437" s="8">
        <v>1</v>
      </c>
      <c r="C437" s="8">
        <f t="shared" si="51"/>
        <v>0.5</v>
      </c>
      <c r="D437" s="16" t="s">
        <v>42</v>
      </c>
      <c r="E437" s="16" t="s">
        <v>43</v>
      </c>
      <c r="F437" s="17" t="s">
        <v>34</v>
      </c>
      <c r="G437" s="17" t="s">
        <v>37</v>
      </c>
      <c r="H437" s="17" t="s">
        <v>29</v>
      </c>
      <c r="I437" s="17" t="s">
        <v>185</v>
      </c>
      <c r="J437" s="8">
        <v>4.01</v>
      </c>
      <c r="K437" s="8">
        <v>4.41</v>
      </c>
      <c r="L437" s="8">
        <f t="shared" si="70"/>
        <v>9.9750623441396602</v>
      </c>
      <c r="M437" s="9">
        <v>205.81</v>
      </c>
      <c r="N437" s="9">
        <v>218.65</v>
      </c>
      <c r="O437" s="10">
        <f t="shared" si="79"/>
        <v>6.2387639084592594</v>
      </c>
      <c r="P437" s="11">
        <v>37.159999999999997</v>
      </c>
      <c r="Q437" s="11">
        <v>42.34</v>
      </c>
      <c r="R437" s="33">
        <f t="shared" si="72"/>
        <v>13.939720129171171</v>
      </c>
      <c r="S437" s="37">
        <f t="shared" si="73"/>
        <v>1.6031443726201822</v>
      </c>
      <c r="T437" s="37">
        <f t="shared" si="74"/>
        <v>1.9989156187077806</v>
      </c>
      <c r="U437" s="42">
        <f t="shared" si="75"/>
        <v>3.3134664726582348</v>
      </c>
      <c r="V437" s="41">
        <f t="shared" si="76"/>
        <v>1.7950985510745996</v>
      </c>
      <c r="W437" s="43">
        <f t="shared" si="77"/>
        <v>2.5700757053216039</v>
      </c>
      <c r="X437" s="43">
        <f t="shared" si="78"/>
        <v>2.1442540544236297</v>
      </c>
    </row>
    <row r="438" spans="1:24" ht="14.25" customHeight="1">
      <c r="A438" s="46"/>
      <c r="B438" s="8">
        <v>3</v>
      </c>
      <c r="C438" s="8">
        <f t="shared" si="51"/>
        <v>1.5</v>
      </c>
      <c r="D438" s="16" t="s">
        <v>42</v>
      </c>
      <c r="E438" s="16" t="s">
        <v>43</v>
      </c>
      <c r="F438" s="17" t="s">
        <v>34</v>
      </c>
      <c r="G438" s="17" t="s">
        <v>37</v>
      </c>
      <c r="H438" s="17" t="s">
        <v>29</v>
      </c>
      <c r="I438" s="17" t="s">
        <v>185</v>
      </c>
      <c r="J438" s="8">
        <v>4.01</v>
      </c>
      <c r="K438" s="8">
        <v>4.62</v>
      </c>
      <c r="L438" s="8">
        <f t="shared" si="70"/>
        <v>15.211970074812978</v>
      </c>
      <c r="M438" s="9">
        <v>205.81</v>
      </c>
      <c r="N438" s="9">
        <v>214.76</v>
      </c>
      <c r="O438" s="10">
        <f t="shared" si="79"/>
        <v>4.3486711044166899</v>
      </c>
      <c r="P438" s="11">
        <v>37.159999999999997</v>
      </c>
      <c r="Q438" s="11">
        <v>41.72</v>
      </c>
      <c r="R438" s="33">
        <f t="shared" si="72"/>
        <v>12.271259418729825</v>
      </c>
      <c r="S438" s="37">
        <f t="shared" si="73"/>
        <v>1.6031443726201822</v>
      </c>
      <c r="T438" s="37">
        <f t="shared" si="74"/>
        <v>2.182185462390585</v>
      </c>
      <c r="U438" s="42">
        <f t="shared" si="75"/>
        <v>3.3134664726582348</v>
      </c>
      <c r="V438" s="41">
        <f t="shared" si="76"/>
        <v>1.6383565626576764</v>
      </c>
      <c r="W438" s="43">
        <f t="shared" si="77"/>
        <v>2.5700757053216039</v>
      </c>
      <c r="X438" s="43">
        <f t="shared" si="78"/>
        <v>2.0888891373428313</v>
      </c>
    </row>
    <row r="439" spans="1:24" ht="14.25" customHeight="1">
      <c r="A439" s="46"/>
      <c r="B439" s="8">
        <v>5</v>
      </c>
      <c r="C439" s="8">
        <f t="shared" si="51"/>
        <v>2.5</v>
      </c>
      <c r="D439" s="16" t="s">
        <v>42</v>
      </c>
      <c r="E439" s="16" t="s">
        <v>43</v>
      </c>
      <c r="F439" s="17" t="s">
        <v>34</v>
      </c>
      <c r="G439" s="17" t="s">
        <v>37</v>
      </c>
      <c r="H439" s="17" t="s">
        <v>29</v>
      </c>
      <c r="I439" s="17" t="s">
        <v>185</v>
      </c>
      <c r="J439" s="8">
        <v>4.01</v>
      </c>
      <c r="K439" s="8">
        <v>4.7</v>
      </c>
      <c r="L439" s="8">
        <f t="shared" si="70"/>
        <v>17.206982543640908</v>
      </c>
      <c r="M439" s="9">
        <v>205.81</v>
      </c>
      <c r="N439" s="9">
        <v>207.22</v>
      </c>
      <c r="O439" s="10">
        <f t="shared" si="79"/>
        <v>0.68509790583547769</v>
      </c>
      <c r="P439" s="11">
        <v>37.159999999999997</v>
      </c>
      <c r="Q439" s="11">
        <v>39.17</v>
      </c>
      <c r="R439" s="33">
        <f t="shared" si="72"/>
        <v>5.4090419806243411</v>
      </c>
      <c r="S439" s="37">
        <f t="shared" si="73"/>
        <v>1.6031443726201822</v>
      </c>
      <c r="T439" s="37">
        <f t="shared" si="74"/>
        <v>2.2357047181170731</v>
      </c>
      <c r="U439" s="42">
        <f t="shared" si="75"/>
        <v>3.3134664726582348</v>
      </c>
      <c r="V439" s="41">
        <f t="shared" si="76"/>
        <v>0.83575263999714389</v>
      </c>
      <c r="W439" s="43">
        <f t="shared" si="77"/>
        <v>2.5700757053216039</v>
      </c>
      <c r="X439" s="43">
        <f t="shared" si="78"/>
        <v>1.7331203520988858</v>
      </c>
    </row>
    <row r="440" spans="1:24" ht="14.25" customHeight="1">
      <c r="A440" s="49"/>
      <c r="B440" s="8">
        <v>1</v>
      </c>
      <c r="C440" s="8">
        <f t="shared" si="51"/>
        <v>0.5</v>
      </c>
      <c r="D440" s="16" t="s">
        <v>42</v>
      </c>
      <c r="E440" s="16" t="s">
        <v>43</v>
      </c>
      <c r="F440" s="17" t="s">
        <v>34</v>
      </c>
      <c r="G440" s="17" t="s">
        <v>37</v>
      </c>
      <c r="H440" s="17" t="s">
        <v>29</v>
      </c>
      <c r="I440" s="17" t="s">
        <v>185</v>
      </c>
      <c r="J440" s="8">
        <v>4</v>
      </c>
      <c r="K440" s="8">
        <v>4.3899999999999997</v>
      </c>
      <c r="L440" s="8">
        <f t="shared" si="70"/>
        <v>9.7499999999999929</v>
      </c>
      <c r="M440" s="9">
        <v>151.44999999999999</v>
      </c>
      <c r="N440" s="9">
        <v>151.94</v>
      </c>
      <c r="O440" s="10">
        <f t="shared" si="79"/>
        <v>0.32353912182238964</v>
      </c>
      <c r="P440" s="11">
        <v>20.61</v>
      </c>
      <c r="Q440" s="11">
        <v>20.18</v>
      </c>
      <c r="R440" s="33">
        <f t="shared" si="72"/>
        <v>-2.0863658418243558</v>
      </c>
      <c r="S440" s="37">
        <f t="shared" si="73"/>
        <v>1.6020599913279623</v>
      </c>
      <c r="T440" s="37">
        <f t="shared" si="74"/>
        <v>1.9890046156985366</v>
      </c>
      <c r="U440" s="42">
        <f t="shared" si="75"/>
        <v>3.1802692776688746</v>
      </c>
      <c r="V440" s="41">
        <f t="shared" si="76"/>
        <v>0.50992680235964727</v>
      </c>
      <c r="W440" s="43">
        <f t="shared" si="77"/>
        <v>2.3140779917792127</v>
      </c>
      <c r="X440" s="43" t="e">
        <f t="shared" si="78"/>
        <v>#NUM!</v>
      </c>
    </row>
    <row r="441" spans="1:24" ht="14.25" customHeight="1">
      <c r="A441" s="49"/>
      <c r="B441" s="8">
        <v>3</v>
      </c>
      <c r="C441" s="8">
        <f t="shared" si="51"/>
        <v>1.5</v>
      </c>
      <c r="D441" s="16" t="s">
        <v>42</v>
      </c>
      <c r="E441" s="16" t="s">
        <v>43</v>
      </c>
      <c r="F441" s="17" t="s">
        <v>34</v>
      </c>
      <c r="G441" s="17" t="s">
        <v>37</v>
      </c>
      <c r="H441" s="17" t="s">
        <v>29</v>
      </c>
      <c r="I441" s="17" t="s">
        <v>185</v>
      </c>
      <c r="J441" s="8">
        <v>4</v>
      </c>
      <c r="K441" s="8">
        <v>4.6500000000000004</v>
      </c>
      <c r="L441" s="8">
        <f t="shared" si="70"/>
        <v>16.250000000000007</v>
      </c>
      <c r="M441" s="9">
        <v>151.44999999999999</v>
      </c>
      <c r="N441" s="9">
        <v>151.91999999999999</v>
      </c>
      <c r="O441" s="10">
        <f t="shared" si="79"/>
        <v>0.31033344338065294</v>
      </c>
      <c r="P441" s="11">
        <v>20.61</v>
      </c>
      <c r="Q441" s="11">
        <v>19.690000000000001</v>
      </c>
      <c r="R441" s="33">
        <f t="shared" si="72"/>
        <v>-4.4638524987869879</v>
      </c>
      <c r="S441" s="37">
        <f t="shared" si="73"/>
        <v>1.6020599913279623</v>
      </c>
      <c r="T441" s="37">
        <f t="shared" si="74"/>
        <v>2.2108533653148932</v>
      </c>
      <c r="U441" s="42">
        <f t="shared" si="75"/>
        <v>3.1802692776688746</v>
      </c>
      <c r="V441" s="41">
        <f t="shared" si="76"/>
        <v>0.4918285802668419</v>
      </c>
      <c r="W441" s="43">
        <f t="shared" si="77"/>
        <v>2.3140779917792127</v>
      </c>
      <c r="X441" s="43" t="e">
        <f t="shared" si="78"/>
        <v>#NUM!</v>
      </c>
    </row>
    <row r="442" spans="1:24" ht="14.25" customHeight="1">
      <c r="A442" s="50"/>
      <c r="B442" s="8">
        <v>5</v>
      </c>
      <c r="C442" s="8">
        <f t="shared" si="51"/>
        <v>2.5</v>
      </c>
      <c r="D442" s="16" t="s">
        <v>42</v>
      </c>
      <c r="E442" s="16" t="s">
        <v>43</v>
      </c>
      <c r="F442" s="17" t="s">
        <v>34</v>
      </c>
      <c r="G442" s="17" t="s">
        <v>37</v>
      </c>
      <c r="H442" s="17" t="s">
        <v>29</v>
      </c>
      <c r="I442" s="17" t="s">
        <v>185</v>
      </c>
      <c r="J442" s="8">
        <v>4</v>
      </c>
      <c r="K442" s="8">
        <v>4.8099999999999996</v>
      </c>
      <c r="L442" s="8">
        <f t="shared" si="70"/>
        <v>20.249999999999989</v>
      </c>
      <c r="M442" s="9">
        <v>151.44999999999999</v>
      </c>
      <c r="N442" s="9">
        <v>152.51</v>
      </c>
      <c r="O442" s="10">
        <f t="shared" si="79"/>
        <v>0.69990095741168856</v>
      </c>
      <c r="P442" s="11">
        <v>20.61</v>
      </c>
      <c r="Q442" s="11">
        <v>19.43</v>
      </c>
      <c r="R442" s="33">
        <f t="shared" si="72"/>
        <v>-5.7253760310528863</v>
      </c>
      <c r="S442" s="37">
        <f t="shared" si="73"/>
        <v>1.6020599913279623</v>
      </c>
      <c r="T442" s="37">
        <f t="shared" si="74"/>
        <v>2.306425027550687</v>
      </c>
      <c r="U442" s="42">
        <f t="shared" si="75"/>
        <v>3.1802692776688746</v>
      </c>
      <c r="V442" s="41">
        <f t="shared" si="76"/>
        <v>0.84503658759589662</v>
      </c>
      <c r="W442" s="43">
        <f t="shared" si="77"/>
        <v>2.3140779917792127</v>
      </c>
      <c r="X442" s="43" t="e">
        <f t="shared" si="78"/>
        <v>#NUM!</v>
      </c>
    </row>
    <row r="443" spans="1:24" ht="14.25" customHeight="1">
      <c r="A443" s="45" t="s">
        <v>166</v>
      </c>
      <c r="B443" s="8">
        <v>1</v>
      </c>
      <c r="C443" s="8">
        <f t="shared" si="51"/>
        <v>0.5</v>
      </c>
      <c r="D443" s="16" t="s">
        <v>42</v>
      </c>
      <c r="E443" s="16" t="s">
        <v>43</v>
      </c>
      <c r="F443" s="17" t="s">
        <v>34</v>
      </c>
      <c r="G443" s="17" t="s">
        <v>187</v>
      </c>
      <c r="H443" s="17" t="s">
        <v>29</v>
      </c>
      <c r="I443" s="17" t="s">
        <v>36</v>
      </c>
      <c r="J443" s="8">
        <v>7.1</v>
      </c>
      <c r="K443" s="8">
        <v>7.7</v>
      </c>
      <c r="L443" s="8">
        <f t="shared" si="70"/>
        <v>8.450704225352121</v>
      </c>
      <c r="M443" s="9">
        <v>270</v>
      </c>
      <c r="N443" s="9">
        <v>288</v>
      </c>
      <c r="O443" s="10">
        <f t="shared" si="79"/>
        <v>6.666666666666667</v>
      </c>
      <c r="P443" s="11" t="s">
        <v>31</v>
      </c>
      <c r="Q443" s="11" t="s">
        <v>31</v>
      </c>
      <c r="R443" s="35" t="s">
        <v>31</v>
      </c>
      <c r="S443" s="37">
        <f t="shared" si="73"/>
        <v>1.8512583487190752</v>
      </c>
      <c r="T443" s="37">
        <f t="shared" si="74"/>
        <v>1.9268929016645688</v>
      </c>
      <c r="U443" s="42">
        <f t="shared" si="75"/>
        <v>3.4313637641589874</v>
      </c>
      <c r="V443" s="41">
        <f t="shared" si="76"/>
        <v>1.8239087409443189</v>
      </c>
      <c r="W443" s="43" t="e">
        <f t="shared" si="77"/>
        <v>#VALUE!</v>
      </c>
      <c r="X443" s="43" t="e">
        <f t="shared" si="78"/>
        <v>#VALUE!</v>
      </c>
    </row>
    <row r="444" spans="1:24" ht="14.25" customHeight="1">
      <c r="A444" s="46"/>
      <c r="B444" s="8">
        <v>3</v>
      </c>
      <c r="C444" s="8">
        <f t="shared" si="51"/>
        <v>1.5</v>
      </c>
      <c r="D444" s="16" t="s">
        <v>42</v>
      </c>
      <c r="E444" s="16" t="s">
        <v>43</v>
      </c>
      <c r="F444" s="17" t="s">
        <v>34</v>
      </c>
      <c r="G444" s="17" t="s">
        <v>187</v>
      </c>
      <c r="H444" s="17" t="s">
        <v>29</v>
      </c>
      <c r="I444" s="17" t="s">
        <v>36</v>
      </c>
      <c r="J444" s="8">
        <v>7.1</v>
      </c>
      <c r="K444" s="8">
        <v>8.1</v>
      </c>
      <c r="L444" s="8">
        <f t="shared" si="70"/>
        <v>14.084507042253522</v>
      </c>
      <c r="M444" s="9">
        <v>270</v>
      </c>
      <c r="N444" s="9">
        <v>315</v>
      </c>
      <c r="O444" s="10">
        <f t="shared" si="79"/>
        <v>16.666666666666664</v>
      </c>
      <c r="P444" s="11" t="s">
        <v>31</v>
      </c>
      <c r="Q444" s="11" t="s">
        <v>31</v>
      </c>
      <c r="R444" s="35" t="s">
        <v>31</v>
      </c>
      <c r="S444" s="37">
        <f t="shared" si="73"/>
        <v>1.8512583487190752</v>
      </c>
      <c r="T444" s="37">
        <f t="shared" si="74"/>
        <v>2.148741651280925</v>
      </c>
      <c r="U444" s="42">
        <f t="shared" si="75"/>
        <v>3.4313637641589874</v>
      </c>
      <c r="V444" s="41">
        <f t="shared" si="76"/>
        <v>2.2218487496163561</v>
      </c>
      <c r="W444" s="43" t="e">
        <f t="shared" si="77"/>
        <v>#VALUE!</v>
      </c>
      <c r="X444" s="43" t="e">
        <f t="shared" si="78"/>
        <v>#VALUE!</v>
      </c>
    </row>
    <row r="445" spans="1:24" ht="14.25" customHeight="1">
      <c r="A445" s="46"/>
      <c r="B445" s="8">
        <v>5</v>
      </c>
      <c r="C445" s="8">
        <f t="shared" si="51"/>
        <v>2.5</v>
      </c>
      <c r="D445" s="16" t="s">
        <v>42</v>
      </c>
      <c r="E445" s="16" t="s">
        <v>43</v>
      </c>
      <c r="F445" s="17" t="s">
        <v>34</v>
      </c>
      <c r="G445" s="17" t="s">
        <v>188</v>
      </c>
      <c r="H445" s="17" t="s">
        <v>29</v>
      </c>
      <c r="I445" s="17" t="s">
        <v>36</v>
      </c>
      <c r="J445" s="8">
        <v>7.1</v>
      </c>
      <c r="K445" s="8">
        <v>9.3000000000000007</v>
      </c>
      <c r="L445" s="8">
        <f t="shared" si="70"/>
        <v>30.985915492957762</v>
      </c>
      <c r="M445" s="9">
        <v>270</v>
      </c>
      <c r="N445" s="9">
        <v>353</v>
      </c>
      <c r="O445" s="10">
        <f t="shared" si="79"/>
        <v>30.74074074074074</v>
      </c>
      <c r="P445" s="11" t="s">
        <v>31</v>
      </c>
      <c r="Q445" s="11" t="s">
        <v>31</v>
      </c>
      <c r="R445" s="35" t="s">
        <v>31</v>
      </c>
      <c r="S445" s="37">
        <f t="shared" si="73"/>
        <v>1.8512583487190752</v>
      </c>
      <c r="T445" s="37">
        <f t="shared" si="74"/>
        <v>2.4911643321031312</v>
      </c>
      <c r="U445" s="42">
        <f t="shared" si="75"/>
        <v>3.4313637641589874</v>
      </c>
      <c r="V445" s="41">
        <f t="shared" si="76"/>
        <v>2.4877143282170864</v>
      </c>
      <c r="W445" s="43" t="e">
        <f t="shared" si="77"/>
        <v>#VALUE!</v>
      </c>
      <c r="X445" s="43" t="e">
        <f t="shared" si="78"/>
        <v>#VALUE!</v>
      </c>
    </row>
    <row r="446" spans="1:24" ht="14.25" customHeight="1">
      <c r="A446" s="46"/>
      <c r="B446" s="8">
        <v>7</v>
      </c>
      <c r="C446" s="8">
        <f t="shared" si="51"/>
        <v>3.5</v>
      </c>
      <c r="D446" s="16" t="s">
        <v>42</v>
      </c>
      <c r="E446" s="16" t="s">
        <v>43</v>
      </c>
      <c r="F446" s="17" t="s">
        <v>34</v>
      </c>
      <c r="G446" s="17" t="s">
        <v>189</v>
      </c>
      <c r="H446" s="17" t="s">
        <v>29</v>
      </c>
      <c r="I446" s="17" t="s">
        <v>36</v>
      </c>
      <c r="J446" s="8">
        <v>7.1</v>
      </c>
      <c r="K446" s="8">
        <v>8.1</v>
      </c>
      <c r="L446" s="8">
        <f t="shared" si="70"/>
        <v>14.084507042253522</v>
      </c>
      <c r="M446" s="9">
        <v>270</v>
      </c>
      <c r="N446" s="9">
        <v>302</v>
      </c>
      <c r="O446" s="10">
        <f t="shared" si="79"/>
        <v>11.851851851851853</v>
      </c>
      <c r="P446" s="11" t="s">
        <v>31</v>
      </c>
      <c r="Q446" s="11" t="s">
        <v>31</v>
      </c>
      <c r="R446" s="35" t="s">
        <v>31</v>
      </c>
      <c r="S446" s="37">
        <f t="shared" si="73"/>
        <v>1.8512583487190752</v>
      </c>
      <c r="T446" s="37">
        <f t="shared" si="74"/>
        <v>2.148741651280925</v>
      </c>
      <c r="U446" s="42">
        <f t="shared" si="75"/>
        <v>3.4313637641589874</v>
      </c>
      <c r="V446" s="41">
        <f t="shared" si="76"/>
        <v>2.0737862141609189</v>
      </c>
      <c r="W446" s="43" t="e">
        <f t="shared" si="77"/>
        <v>#VALUE!</v>
      </c>
      <c r="X446" s="43" t="e">
        <f t="shared" si="78"/>
        <v>#VALUE!</v>
      </c>
    </row>
    <row r="447" spans="1:24" ht="14.25" customHeight="1">
      <c r="A447" s="46"/>
      <c r="B447" s="8">
        <v>1</v>
      </c>
      <c r="C447" s="8">
        <f t="shared" si="51"/>
        <v>0.5</v>
      </c>
      <c r="D447" s="16" t="s">
        <v>42</v>
      </c>
      <c r="E447" s="16" t="s">
        <v>43</v>
      </c>
      <c r="F447" s="17" t="s">
        <v>34</v>
      </c>
      <c r="G447" s="17" t="s">
        <v>190</v>
      </c>
      <c r="H447" s="17" t="s">
        <v>29</v>
      </c>
      <c r="I447" s="17" t="s">
        <v>46</v>
      </c>
      <c r="J447" s="8">
        <v>11.2</v>
      </c>
      <c r="K447" s="8">
        <v>13.3</v>
      </c>
      <c r="L447" s="8">
        <f t="shared" si="70"/>
        <v>18.750000000000014</v>
      </c>
      <c r="M447" s="9">
        <v>315</v>
      </c>
      <c r="N447" s="9">
        <v>348</v>
      </c>
      <c r="O447" s="10">
        <f t="shared" si="79"/>
        <v>10.476190476190476</v>
      </c>
      <c r="P447" s="11" t="s">
        <v>31</v>
      </c>
      <c r="Q447" s="11" t="s">
        <v>31</v>
      </c>
      <c r="R447" s="35" t="s">
        <v>31</v>
      </c>
      <c r="S447" s="37">
        <f t="shared" si="73"/>
        <v>2.0492180226701815</v>
      </c>
      <c r="T447" s="37">
        <f t="shared" si="74"/>
        <v>2.273001272063738</v>
      </c>
      <c r="U447" s="42">
        <f t="shared" si="75"/>
        <v>3.4983105537896004</v>
      </c>
      <c r="V447" s="41">
        <f t="shared" si="76"/>
        <v>2.0202033860882871</v>
      </c>
      <c r="W447" s="43" t="e">
        <f t="shared" si="77"/>
        <v>#VALUE!</v>
      </c>
      <c r="X447" s="43" t="e">
        <f t="shared" si="78"/>
        <v>#VALUE!</v>
      </c>
    </row>
    <row r="448" spans="1:24" ht="14.25" customHeight="1">
      <c r="A448" s="46"/>
      <c r="B448" s="8">
        <v>3</v>
      </c>
      <c r="C448" s="8">
        <f t="shared" si="51"/>
        <v>1.5</v>
      </c>
      <c r="D448" s="16" t="s">
        <v>42</v>
      </c>
      <c r="E448" s="16" t="s">
        <v>43</v>
      </c>
      <c r="F448" s="17" t="s">
        <v>34</v>
      </c>
      <c r="G448" s="17" t="s">
        <v>190</v>
      </c>
      <c r="H448" s="17" t="s">
        <v>29</v>
      </c>
      <c r="I448" s="17" t="s">
        <v>46</v>
      </c>
      <c r="J448" s="8">
        <v>11.2</v>
      </c>
      <c r="K448" s="8">
        <v>18.2</v>
      </c>
      <c r="L448" s="8">
        <f t="shared" si="70"/>
        <v>62.5</v>
      </c>
      <c r="M448" s="9">
        <v>315</v>
      </c>
      <c r="N448" s="9">
        <v>445</v>
      </c>
      <c r="O448" s="10">
        <f t="shared" si="79"/>
        <v>41.269841269841265</v>
      </c>
      <c r="P448" s="11" t="s">
        <v>31</v>
      </c>
      <c r="Q448" s="11" t="s">
        <v>31</v>
      </c>
      <c r="R448" s="35" t="s">
        <v>31</v>
      </c>
      <c r="S448" s="37">
        <f t="shared" si="73"/>
        <v>2.0492180226701815</v>
      </c>
      <c r="T448" s="37">
        <f t="shared" si="74"/>
        <v>2.7958800173440754</v>
      </c>
      <c r="U448" s="42">
        <f t="shared" si="75"/>
        <v>3.4983105537896004</v>
      </c>
      <c r="V448" s="41">
        <f t="shared" si="76"/>
        <v>2.6156327985172361</v>
      </c>
      <c r="W448" s="43" t="e">
        <f t="shared" si="77"/>
        <v>#VALUE!</v>
      </c>
      <c r="X448" s="43" t="e">
        <f t="shared" si="78"/>
        <v>#VALUE!</v>
      </c>
    </row>
    <row r="449" spans="1:24" ht="14.25" customHeight="1">
      <c r="A449" s="46"/>
      <c r="B449" s="8">
        <v>5</v>
      </c>
      <c r="C449" s="8">
        <f t="shared" si="51"/>
        <v>2.5</v>
      </c>
      <c r="D449" s="16" t="s">
        <v>42</v>
      </c>
      <c r="E449" s="16" t="s">
        <v>43</v>
      </c>
      <c r="F449" s="17" t="s">
        <v>34</v>
      </c>
      <c r="G449" s="17" t="s">
        <v>190</v>
      </c>
      <c r="H449" s="17" t="s">
        <v>29</v>
      </c>
      <c r="I449" s="17" t="s">
        <v>46</v>
      </c>
      <c r="J449" s="8">
        <v>11.2</v>
      </c>
      <c r="K449" s="8">
        <v>24.5</v>
      </c>
      <c r="L449" s="8">
        <f t="shared" si="70"/>
        <v>118.75000000000003</v>
      </c>
      <c r="M449" s="9">
        <v>315</v>
      </c>
      <c r="N449" s="9">
        <v>480</v>
      </c>
      <c r="O449" s="10">
        <f t="shared" si="79"/>
        <v>52.380952380952387</v>
      </c>
      <c r="P449" s="11" t="s">
        <v>31</v>
      </c>
      <c r="Q449" s="11" t="s">
        <v>31</v>
      </c>
      <c r="R449" s="35" t="s">
        <v>31</v>
      </c>
      <c r="S449" s="37">
        <f t="shared" si="73"/>
        <v>2.0492180226701815</v>
      </c>
      <c r="T449" s="37">
        <f t="shared" si="74"/>
        <v>3.0746336182969043</v>
      </c>
      <c r="U449" s="42">
        <f t="shared" si="75"/>
        <v>3.4983105537896004</v>
      </c>
      <c r="V449" s="41">
        <f t="shared" si="76"/>
        <v>2.7191733904243058</v>
      </c>
      <c r="W449" s="43" t="e">
        <f t="shared" si="77"/>
        <v>#VALUE!</v>
      </c>
      <c r="X449" s="43" t="e">
        <f t="shared" si="78"/>
        <v>#VALUE!</v>
      </c>
    </row>
    <row r="450" spans="1:24" ht="14.25" customHeight="1">
      <c r="A450" s="46"/>
      <c r="B450" s="8">
        <v>7</v>
      </c>
      <c r="C450" s="8">
        <f t="shared" si="51"/>
        <v>3.5</v>
      </c>
      <c r="D450" s="16" t="s">
        <v>42</v>
      </c>
      <c r="E450" s="16" t="s">
        <v>43</v>
      </c>
      <c r="F450" s="17" t="s">
        <v>34</v>
      </c>
      <c r="G450" s="17" t="s">
        <v>189</v>
      </c>
      <c r="H450" s="17" t="s">
        <v>29</v>
      </c>
      <c r="I450" s="17" t="s">
        <v>46</v>
      </c>
      <c r="J450" s="8">
        <v>11.2</v>
      </c>
      <c r="K450" s="8">
        <v>20.5</v>
      </c>
      <c r="L450" s="8">
        <f t="shared" si="70"/>
        <v>83.035714285714306</v>
      </c>
      <c r="M450" s="9">
        <v>315</v>
      </c>
      <c r="N450" s="9">
        <v>360</v>
      </c>
      <c r="O450" s="10">
        <f t="shared" si="79"/>
        <v>14.285714285714285</v>
      </c>
      <c r="P450" s="11" t="s">
        <v>31</v>
      </c>
      <c r="Q450" s="11" t="s">
        <v>31</v>
      </c>
      <c r="R450" s="35" t="s">
        <v>31</v>
      </c>
      <c r="S450" s="37">
        <f t="shared" si="73"/>
        <v>2.0492180226701815</v>
      </c>
      <c r="T450" s="37">
        <f t="shared" si="74"/>
        <v>2.9192649258837537</v>
      </c>
      <c r="U450" s="42">
        <f t="shared" si="75"/>
        <v>3.4983105537896004</v>
      </c>
      <c r="V450" s="41">
        <f t="shared" si="76"/>
        <v>2.1549019599857431</v>
      </c>
      <c r="W450" s="43" t="e">
        <f t="shared" si="77"/>
        <v>#VALUE!</v>
      </c>
      <c r="X450" s="43" t="e">
        <f t="shared" si="78"/>
        <v>#VALUE!</v>
      </c>
    </row>
    <row r="451" spans="1:24" ht="14.25" customHeight="1">
      <c r="A451" s="46"/>
      <c r="B451" s="8">
        <v>1</v>
      </c>
      <c r="C451" s="8">
        <f t="shared" si="51"/>
        <v>0.5</v>
      </c>
      <c r="D451" s="16" t="s">
        <v>42</v>
      </c>
      <c r="E451" s="16" t="s">
        <v>43</v>
      </c>
      <c r="F451" s="17" t="s">
        <v>34</v>
      </c>
      <c r="G451" s="17" t="s">
        <v>190</v>
      </c>
      <c r="H451" s="17" t="s">
        <v>29</v>
      </c>
      <c r="I451" s="17" t="s">
        <v>191</v>
      </c>
      <c r="J451" s="8" t="s">
        <v>31</v>
      </c>
      <c r="K451" s="8" t="s">
        <v>31</v>
      </c>
      <c r="L451" s="8" t="s">
        <v>31</v>
      </c>
      <c r="M451" s="9">
        <v>52.5</v>
      </c>
      <c r="N451" s="9">
        <v>64</v>
      </c>
      <c r="O451" s="10">
        <f t="shared" si="79"/>
        <v>21.904761904761905</v>
      </c>
      <c r="P451" s="11" t="s">
        <v>31</v>
      </c>
      <c r="Q451" s="11" t="s">
        <v>31</v>
      </c>
      <c r="R451" s="35" t="s">
        <v>31</v>
      </c>
      <c r="S451" s="37" t="e">
        <f t="shared" si="73"/>
        <v>#VALUE!</v>
      </c>
      <c r="T451" s="37" t="e">
        <f t="shared" si="74"/>
        <v>#VALUE!</v>
      </c>
      <c r="U451" s="42">
        <f t="shared" si="75"/>
        <v>2.720159303405957</v>
      </c>
      <c r="V451" s="41">
        <f t="shared" si="76"/>
        <v>2.3405385369476548</v>
      </c>
      <c r="W451" s="43" t="e">
        <f t="shared" si="77"/>
        <v>#VALUE!</v>
      </c>
      <c r="X451" s="43" t="e">
        <f t="shared" si="78"/>
        <v>#VALUE!</v>
      </c>
    </row>
    <row r="452" spans="1:24" ht="14.25" customHeight="1">
      <c r="A452" s="49"/>
      <c r="B452" s="8">
        <v>3</v>
      </c>
      <c r="C452" s="8">
        <f t="shared" si="51"/>
        <v>1.5</v>
      </c>
      <c r="D452" s="16" t="s">
        <v>42</v>
      </c>
      <c r="E452" s="16" t="s">
        <v>43</v>
      </c>
      <c r="F452" s="17" t="s">
        <v>34</v>
      </c>
      <c r="G452" s="17" t="s">
        <v>190</v>
      </c>
      <c r="H452" s="17" t="s">
        <v>29</v>
      </c>
      <c r="I452" s="17" t="s">
        <v>191</v>
      </c>
      <c r="J452" s="8" t="s">
        <v>31</v>
      </c>
      <c r="K452" s="8" t="s">
        <v>31</v>
      </c>
      <c r="L452" s="8" t="s">
        <v>31</v>
      </c>
      <c r="M452" s="9">
        <v>52.5</v>
      </c>
      <c r="N452" s="9">
        <v>75</v>
      </c>
      <c r="O452" s="10">
        <f t="shared" si="79"/>
        <v>42.857142857142854</v>
      </c>
      <c r="P452" s="11" t="s">
        <v>31</v>
      </c>
      <c r="Q452" s="11" t="s">
        <v>31</v>
      </c>
      <c r="R452" s="35" t="s">
        <v>31</v>
      </c>
      <c r="S452" s="37" t="e">
        <f t="shared" ref="S452:S515" si="80">LOG10(J452*10)</f>
        <v>#VALUE!</v>
      </c>
      <c r="T452" s="37" t="e">
        <f t="shared" ref="T452:T515" si="81">LOG10(L452*10)</f>
        <v>#VALUE!</v>
      </c>
      <c r="U452" s="42">
        <f t="shared" ref="U452:U515" si="82">LOG10(M452*10)</f>
        <v>2.720159303405957</v>
      </c>
      <c r="V452" s="41">
        <f t="shared" ref="V452:V515" si="83">LOG10(O452*10)</f>
        <v>2.6320232147054057</v>
      </c>
      <c r="W452" s="43" t="e">
        <f t="shared" ref="W452:W515" si="84">LOG10(P452*10)</f>
        <v>#VALUE!</v>
      </c>
      <c r="X452" s="43" t="e">
        <f t="shared" ref="X452:X515" si="85">LOG10(R452*10)</f>
        <v>#VALUE!</v>
      </c>
    </row>
    <row r="453" spans="1:24" ht="14.25" customHeight="1">
      <c r="A453" s="49"/>
      <c r="B453" s="8">
        <v>5</v>
      </c>
      <c r="C453" s="8">
        <f t="shared" si="51"/>
        <v>2.5</v>
      </c>
      <c r="D453" s="16" t="s">
        <v>42</v>
      </c>
      <c r="E453" s="16" t="s">
        <v>43</v>
      </c>
      <c r="F453" s="17" t="s">
        <v>34</v>
      </c>
      <c r="G453" s="17" t="s">
        <v>190</v>
      </c>
      <c r="H453" s="17" t="s">
        <v>29</v>
      </c>
      <c r="I453" s="17" t="s">
        <v>191</v>
      </c>
      <c r="J453" s="8" t="s">
        <v>31</v>
      </c>
      <c r="K453" s="8" t="s">
        <v>31</v>
      </c>
      <c r="L453" s="8" t="s">
        <v>31</v>
      </c>
      <c r="M453" s="9">
        <v>52.5</v>
      </c>
      <c r="N453" s="9">
        <v>66.5</v>
      </c>
      <c r="O453" s="10">
        <f t="shared" si="79"/>
        <v>26.666666666666668</v>
      </c>
      <c r="P453" s="11" t="s">
        <v>31</v>
      </c>
      <c r="Q453" s="11" t="s">
        <v>31</v>
      </c>
      <c r="R453" s="35" t="s">
        <v>31</v>
      </c>
      <c r="S453" s="37" t="e">
        <f t="shared" si="80"/>
        <v>#VALUE!</v>
      </c>
      <c r="T453" s="37" t="e">
        <f t="shared" si="81"/>
        <v>#VALUE!</v>
      </c>
      <c r="U453" s="42">
        <f t="shared" si="82"/>
        <v>2.720159303405957</v>
      </c>
      <c r="V453" s="41">
        <f t="shared" si="83"/>
        <v>2.4259687322722812</v>
      </c>
      <c r="W453" s="43" t="e">
        <f t="shared" si="84"/>
        <v>#VALUE!</v>
      </c>
      <c r="X453" s="43" t="e">
        <f t="shared" si="85"/>
        <v>#VALUE!</v>
      </c>
    </row>
    <row r="454" spans="1:24" ht="14.25" customHeight="1">
      <c r="A454" s="50"/>
      <c r="B454" s="8">
        <v>7</v>
      </c>
      <c r="C454" s="8">
        <f t="shared" si="51"/>
        <v>3.5</v>
      </c>
      <c r="D454" s="16" t="s">
        <v>42</v>
      </c>
      <c r="E454" s="16" t="s">
        <v>43</v>
      </c>
      <c r="F454" s="17" t="s">
        <v>34</v>
      </c>
      <c r="G454" s="17" t="s">
        <v>189</v>
      </c>
      <c r="H454" s="17" t="s">
        <v>29</v>
      </c>
      <c r="I454" s="17" t="s">
        <v>191</v>
      </c>
      <c r="J454" s="8" t="s">
        <v>31</v>
      </c>
      <c r="K454" s="8" t="s">
        <v>31</v>
      </c>
      <c r="L454" s="8" t="s">
        <v>31</v>
      </c>
      <c r="M454" s="9">
        <v>52.5</v>
      </c>
      <c r="N454" s="9">
        <v>40.5</v>
      </c>
      <c r="O454" s="10">
        <f t="shared" si="79"/>
        <v>-22.857142857142858</v>
      </c>
      <c r="P454" s="11" t="s">
        <v>31</v>
      </c>
      <c r="Q454" s="11" t="s">
        <v>31</v>
      </c>
      <c r="R454" s="35" t="s">
        <v>31</v>
      </c>
      <c r="S454" s="37" t="e">
        <f t="shared" si="80"/>
        <v>#VALUE!</v>
      </c>
      <c r="T454" s="37" t="e">
        <f t="shared" si="81"/>
        <v>#VALUE!</v>
      </c>
      <c r="U454" s="42">
        <f t="shared" si="82"/>
        <v>2.720159303405957</v>
      </c>
      <c r="V454" s="41" t="e">
        <f t="shared" si="83"/>
        <v>#NUM!</v>
      </c>
      <c r="W454" s="43" t="e">
        <f t="shared" si="84"/>
        <v>#VALUE!</v>
      </c>
      <c r="X454" s="43" t="e">
        <f t="shared" si="85"/>
        <v>#VALUE!</v>
      </c>
    </row>
    <row r="455" spans="1:24" ht="14.25" customHeight="1">
      <c r="A455" s="45" t="s">
        <v>192</v>
      </c>
      <c r="B455" s="8">
        <v>1</v>
      </c>
      <c r="C455" s="8">
        <f t="shared" si="51"/>
        <v>0.5</v>
      </c>
      <c r="D455" s="16" t="s">
        <v>42</v>
      </c>
      <c r="E455" s="16" t="s">
        <v>43</v>
      </c>
      <c r="F455" s="17" t="s">
        <v>34</v>
      </c>
      <c r="G455" s="17" t="s">
        <v>193</v>
      </c>
      <c r="H455" s="17" t="s">
        <v>29</v>
      </c>
      <c r="I455" s="17" t="s">
        <v>194</v>
      </c>
      <c r="J455" s="8">
        <v>3</v>
      </c>
      <c r="K455" s="8">
        <v>3.2</v>
      </c>
      <c r="L455" s="8">
        <f t="shared" ref="L455:L543" si="86">(K455-J455)/J455*100</f>
        <v>6.6666666666666723</v>
      </c>
      <c r="M455" s="9">
        <v>68</v>
      </c>
      <c r="N455" s="9">
        <v>65</v>
      </c>
      <c r="O455" s="10">
        <f t="shared" si="79"/>
        <v>-4.4117647058823533</v>
      </c>
      <c r="P455" s="11" t="s">
        <v>31</v>
      </c>
      <c r="Q455" s="11" t="s">
        <v>31</v>
      </c>
      <c r="R455" s="35" t="s">
        <v>31</v>
      </c>
      <c r="S455" s="37">
        <f t="shared" si="80"/>
        <v>1.4771212547196624</v>
      </c>
      <c r="T455" s="37">
        <f t="shared" si="81"/>
        <v>1.8239087409443191</v>
      </c>
      <c r="U455" s="42">
        <f t="shared" si="82"/>
        <v>2.8325089127062362</v>
      </c>
      <c r="V455" s="41" t="e">
        <f t="shared" si="83"/>
        <v>#NUM!</v>
      </c>
      <c r="W455" s="43" t="e">
        <f t="shared" si="84"/>
        <v>#VALUE!</v>
      </c>
      <c r="X455" s="43" t="e">
        <f t="shared" si="85"/>
        <v>#VALUE!</v>
      </c>
    </row>
    <row r="456" spans="1:24" ht="14.25" customHeight="1">
      <c r="A456" s="49"/>
      <c r="B456" s="8">
        <v>3</v>
      </c>
      <c r="C456" s="8">
        <f t="shared" si="51"/>
        <v>1.5</v>
      </c>
      <c r="D456" s="16" t="s">
        <v>42</v>
      </c>
      <c r="E456" s="16" t="s">
        <v>43</v>
      </c>
      <c r="F456" s="17" t="s">
        <v>34</v>
      </c>
      <c r="G456" s="17" t="s">
        <v>193</v>
      </c>
      <c r="H456" s="17" t="s">
        <v>29</v>
      </c>
      <c r="I456" s="17" t="s">
        <v>194</v>
      </c>
      <c r="J456" s="8">
        <v>3</v>
      </c>
      <c r="K456" s="8">
        <v>3.2</v>
      </c>
      <c r="L456" s="8">
        <f t="shared" si="86"/>
        <v>6.6666666666666723</v>
      </c>
      <c r="M456" s="9">
        <v>68</v>
      </c>
      <c r="N456" s="9">
        <v>63</v>
      </c>
      <c r="O456" s="10">
        <f t="shared" si="79"/>
        <v>-7.3529411764705888</v>
      </c>
      <c r="P456" s="11" t="s">
        <v>31</v>
      </c>
      <c r="Q456" s="11" t="s">
        <v>31</v>
      </c>
      <c r="R456" s="35" t="s">
        <v>31</v>
      </c>
      <c r="S456" s="37">
        <f t="shared" si="80"/>
        <v>1.4771212547196624</v>
      </c>
      <c r="T456" s="37">
        <f t="shared" si="81"/>
        <v>1.8239087409443191</v>
      </c>
      <c r="U456" s="42">
        <f t="shared" si="82"/>
        <v>2.8325089127062362</v>
      </c>
      <c r="V456" s="41" t="e">
        <f t="shared" si="83"/>
        <v>#NUM!</v>
      </c>
      <c r="W456" s="43" t="e">
        <f t="shared" si="84"/>
        <v>#VALUE!</v>
      </c>
      <c r="X456" s="43" t="e">
        <f t="shared" si="85"/>
        <v>#VALUE!</v>
      </c>
    </row>
    <row r="457" spans="1:24" ht="14.25" customHeight="1">
      <c r="A457" s="50"/>
      <c r="B457" s="8">
        <v>6</v>
      </c>
      <c r="C457" s="8">
        <f t="shared" si="51"/>
        <v>3</v>
      </c>
      <c r="D457" s="16" t="s">
        <v>42</v>
      </c>
      <c r="E457" s="16" t="s">
        <v>43</v>
      </c>
      <c r="F457" s="17" t="s">
        <v>34</v>
      </c>
      <c r="G457" s="17" t="s">
        <v>193</v>
      </c>
      <c r="H457" s="17" t="s">
        <v>29</v>
      </c>
      <c r="I457" s="17" t="s">
        <v>194</v>
      </c>
      <c r="J457" s="8">
        <v>3</v>
      </c>
      <c r="K457" s="8">
        <v>2.8</v>
      </c>
      <c r="L457" s="8">
        <f t="shared" si="86"/>
        <v>-6.6666666666666723</v>
      </c>
      <c r="M457" s="9">
        <v>68</v>
      </c>
      <c r="N457" s="9">
        <v>61</v>
      </c>
      <c r="O457" s="10">
        <f t="shared" si="79"/>
        <v>-10.294117647058822</v>
      </c>
      <c r="P457" s="11" t="s">
        <v>31</v>
      </c>
      <c r="Q457" s="11" t="s">
        <v>31</v>
      </c>
      <c r="R457" s="35" t="s">
        <v>31</v>
      </c>
      <c r="S457" s="37">
        <f t="shared" si="80"/>
        <v>1.4771212547196624</v>
      </c>
      <c r="T457" s="37" t="e">
        <f t="shared" si="81"/>
        <v>#NUM!</v>
      </c>
      <c r="U457" s="42">
        <f t="shared" si="82"/>
        <v>2.8325089127062362</v>
      </c>
      <c r="V457" s="41" t="e">
        <f t="shared" si="83"/>
        <v>#NUM!</v>
      </c>
      <c r="W457" s="43" t="e">
        <f t="shared" si="84"/>
        <v>#VALUE!</v>
      </c>
      <c r="X457" s="43" t="e">
        <f t="shared" si="85"/>
        <v>#VALUE!</v>
      </c>
    </row>
    <row r="458" spans="1:24" ht="14.25" customHeight="1">
      <c r="A458" s="45" t="s">
        <v>195</v>
      </c>
      <c r="B458" s="8">
        <v>1</v>
      </c>
      <c r="C458" s="8">
        <f t="shared" si="51"/>
        <v>0.5</v>
      </c>
      <c r="D458" s="16" t="s">
        <v>42</v>
      </c>
      <c r="E458" s="16" t="s">
        <v>148</v>
      </c>
      <c r="F458" s="17" t="s">
        <v>34</v>
      </c>
      <c r="G458" s="17" t="s">
        <v>179</v>
      </c>
      <c r="H458" s="17" t="s">
        <v>29</v>
      </c>
      <c r="I458" s="17" t="s">
        <v>36</v>
      </c>
      <c r="J458" s="8">
        <v>2.7</v>
      </c>
      <c r="K458" s="8">
        <v>2.85</v>
      </c>
      <c r="L458" s="8">
        <f t="shared" si="86"/>
        <v>5.5555555555555518</v>
      </c>
      <c r="M458" s="9">
        <v>60</v>
      </c>
      <c r="N458" s="9">
        <v>58</v>
      </c>
      <c r="O458" s="10">
        <f t="shared" si="79"/>
        <v>-3.3333333333333335</v>
      </c>
      <c r="P458" s="11">
        <v>6</v>
      </c>
      <c r="Q458" s="11">
        <v>7.5</v>
      </c>
      <c r="R458" s="33">
        <f t="shared" ref="R458:R521" si="87">((Q458-P458)/P458)*100</f>
        <v>25</v>
      </c>
      <c r="S458" s="37">
        <f t="shared" si="80"/>
        <v>1.4313637641589874</v>
      </c>
      <c r="T458" s="37">
        <f t="shared" si="81"/>
        <v>1.7447274948966935</v>
      </c>
      <c r="U458" s="42">
        <f t="shared" si="82"/>
        <v>2.7781512503836434</v>
      </c>
      <c r="V458" s="41" t="e">
        <f t="shared" si="83"/>
        <v>#NUM!</v>
      </c>
      <c r="W458" s="43">
        <f t="shared" si="84"/>
        <v>1.7781512503836436</v>
      </c>
      <c r="X458" s="43">
        <f t="shared" si="85"/>
        <v>2.3979400086720375</v>
      </c>
    </row>
    <row r="459" spans="1:24" ht="14.25" customHeight="1">
      <c r="A459" s="49"/>
      <c r="B459" s="8">
        <v>2</v>
      </c>
      <c r="C459" s="8">
        <f t="shared" si="51"/>
        <v>1</v>
      </c>
      <c r="D459" s="16" t="s">
        <v>42</v>
      </c>
      <c r="E459" s="16" t="s">
        <v>148</v>
      </c>
      <c r="F459" s="17" t="s">
        <v>34</v>
      </c>
      <c r="G459" s="17" t="s">
        <v>179</v>
      </c>
      <c r="H459" s="17" t="s">
        <v>29</v>
      </c>
      <c r="I459" s="17" t="s">
        <v>36</v>
      </c>
      <c r="J459" s="8">
        <v>2.7</v>
      </c>
      <c r="K459" s="8">
        <v>2.9</v>
      </c>
      <c r="L459" s="8">
        <f t="shared" si="86"/>
        <v>7.4074074074073977</v>
      </c>
      <c r="M459" s="9">
        <v>60</v>
      </c>
      <c r="N459" s="9">
        <v>57</v>
      </c>
      <c r="O459" s="10">
        <f t="shared" si="79"/>
        <v>-5</v>
      </c>
      <c r="P459" s="11">
        <v>6</v>
      </c>
      <c r="Q459" s="11">
        <v>8</v>
      </c>
      <c r="R459" s="33">
        <f t="shared" si="87"/>
        <v>33.333333333333329</v>
      </c>
      <c r="S459" s="37">
        <f t="shared" si="80"/>
        <v>1.4313637641589874</v>
      </c>
      <c r="T459" s="37">
        <f t="shared" si="81"/>
        <v>1.8696662315049932</v>
      </c>
      <c r="U459" s="42">
        <f t="shared" si="82"/>
        <v>2.7781512503836434</v>
      </c>
      <c r="V459" s="41" t="e">
        <f t="shared" si="83"/>
        <v>#NUM!</v>
      </c>
      <c r="W459" s="43">
        <f t="shared" si="84"/>
        <v>1.7781512503836436</v>
      </c>
      <c r="X459" s="43">
        <f t="shared" si="85"/>
        <v>2.5228787452803374</v>
      </c>
    </row>
    <row r="460" spans="1:24" ht="14.25" customHeight="1">
      <c r="A460" s="49"/>
      <c r="B460" s="8">
        <v>5</v>
      </c>
      <c r="C460" s="8">
        <f t="shared" si="51"/>
        <v>2.5</v>
      </c>
      <c r="D460" s="16" t="s">
        <v>42</v>
      </c>
      <c r="E460" s="16" t="s">
        <v>148</v>
      </c>
      <c r="F460" s="17" t="s">
        <v>34</v>
      </c>
      <c r="G460" s="17" t="s">
        <v>179</v>
      </c>
      <c r="H460" s="17" t="s">
        <v>29</v>
      </c>
      <c r="I460" s="17" t="s">
        <v>36</v>
      </c>
      <c r="J460" s="8">
        <v>2.7</v>
      </c>
      <c r="K460" s="8">
        <v>3.2</v>
      </c>
      <c r="L460" s="8">
        <f t="shared" si="86"/>
        <v>18.518518518518519</v>
      </c>
      <c r="M460" s="9">
        <v>60</v>
      </c>
      <c r="N460" s="9">
        <v>56</v>
      </c>
      <c r="O460" s="10">
        <f t="shared" si="79"/>
        <v>-6.666666666666667</v>
      </c>
      <c r="P460" s="11">
        <v>6</v>
      </c>
      <c r="Q460" s="11">
        <v>8.5</v>
      </c>
      <c r="R460" s="33">
        <f t="shared" si="87"/>
        <v>41.666666666666671</v>
      </c>
      <c r="S460" s="37">
        <f t="shared" si="80"/>
        <v>1.4313637641589874</v>
      </c>
      <c r="T460" s="37">
        <f t="shared" si="81"/>
        <v>2.2676062401770314</v>
      </c>
      <c r="U460" s="42">
        <f t="shared" si="82"/>
        <v>2.7781512503836434</v>
      </c>
      <c r="V460" s="41" t="e">
        <f t="shared" si="83"/>
        <v>#NUM!</v>
      </c>
      <c r="W460" s="43">
        <f t="shared" si="84"/>
        <v>1.7781512503836436</v>
      </c>
      <c r="X460" s="43">
        <f t="shared" si="85"/>
        <v>2.6197887582883941</v>
      </c>
    </row>
    <row r="461" spans="1:24" ht="14.25" customHeight="1">
      <c r="A461" s="50"/>
      <c r="B461" s="8">
        <v>10</v>
      </c>
      <c r="C461" s="8">
        <f t="shared" si="51"/>
        <v>5</v>
      </c>
      <c r="D461" s="16" t="s">
        <v>42</v>
      </c>
      <c r="E461" s="16" t="s">
        <v>148</v>
      </c>
      <c r="F461" s="17" t="s">
        <v>34</v>
      </c>
      <c r="G461" s="17" t="s">
        <v>179</v>
      </c>
      <c r="H461" s="17" t="s">
        <v>29</v>
      </c>
      <c r="I461" s="17" t="s">
        <v>36</v>
      </c>
      <c r="J461" s="8">
        <v>2.7</v>
      </c>
      <c r="K461" s="8">
        <v>3.4</v>
      </c>
      <c r="L461" s="8">
        <f t="shared" si="86"/>
        <v>25.925925925925913</v>
      </c>
      <c r="M461" s="9">
        <v>60</v>
      </c>
      <c r="N461" s="9">
        <v>55</v>
      </c>
      <c r="O461" s="10">
        <f t="shared" si="79"/>
        <v>-8.3333333333333321</v>
      </c>
      <c r="P461" s="11">
        <v>6</v>
      </c>
      <c r="Q461" s="11">
        <v>9</v>
      </c>
      <c r="R461" s="33">
        <f t="shared" si="87"/>
        <v>50</v>
      </c>
      <c r="S461" s="37">
        <f t="shared" si="80"/>
        <v>1.4313637641589874</v>
      </c>
      <c r="T461" s="37">
        <f t="shared" si="81"/>
        <v>2.4137342758552691</v>
      </c>
      <c r="U461" s="42">
        <f t="shared" si="82"/>
        <v>2.7781512503836434</v>
      </c>
      <c r="V461" s="41" t="e">
        <f t="shared" si="83"/>
        <v>#NUM!</v>
      </c>
      <c r="W461" s="43">
        <f t="shared" si="84"/>
        <v>1.7781512503836436</v>
      </c>
      <c r="X461" s="43">
        <f t="shared" si="85"/>
        <v>2.6989700043360187</v>
      </c>
    </row>
    <row r="462" spans="1:24" ht="14.25" customHeight="1">
      <c r="A462" s="45" t="s">
        <v>196</v>
      </c>
      <c r="B462" s="8">
        <v>1</v>
      </c>
      <c r="C462" s="8">
        <f t="shared" si="51"/>
        <v>0.5</v>
      </c>
      <c r="D462" s="16" t="s">
        <v>42</v>
      </c>
      <c r="E462" s="16" t="s">
        <v>148</v>
      </c>
      <c r="F462" s="17" t="s">
        <v>34</v>
      </c>
      <c r="G462" s="17" t="s">
        <v>179</v>
      </c>
      <c r="H462" s="17" t="s">
        <v>29</v>
      </c>
      <c r="I462" s="17" t="s">
        <v>51</v>
      </c>
      <c r="J462" s="8">
        <v>2.78</v>
      </c>
      <c r="K462" s="8">
        <v>2.85</v>
      </c>
      <c r="L462" s="8">
        <f t="shared" si="86"/>
        <v>2.5179856115108019</v>
      </c>
      <c r="M462" s="9">
        <v>100.19</v>
      </c>
      <c r="N462" s="9">
        <v>106.18</v>
      </c>
      <c r="O462" s="10">
        <f t="shared" si="79"/>
        <v>5.9786405828925133</v>
      </c>
      <c r="P462" s="11">
        <v>9.65</v>
      </c>
      <c r="Q462" s="11">
        <v>7.56</v>
      </c>
      <c r="R462" s="33">
        <f t="shared" si="87"/>
        <v>-21.658031088082907</v>
      </c>
      <c r="S462" s="37">
        <f t="shared" si="80"/>
        <v>1.4440447959180762</v>
      </c>
      <c r="T462" s="37">
        <f t="shared" si="81"/>
        <v>1.4010532440961825</v>
      </c>
      <c r="U462" s="42">
        <f t="shared" si="82"/>
        <v>3.0008243766056055</v>
      </c>
      <c r="V462" s="41">
        <f t="shared" si="83"/>
        <v>1.7766024457837066</v>
      </c>
      <c r="W462" s="43">
        <f t="shared" si="84"/>
        <v>1.9845273133437926</v>
      </c>
      <c r="X462" s="43" t="e">
        <f t="shared" si="85"/>
        <v>#NUM!</v>
      </c>
    </row>
    <row r="463" spans="1:24" ht="14.25" customHeight="1">
      <c r="A463" s="49"/>
      <c r="B463" s="8">
        <v>1.5</v>
      </c>
      <c r="C463" s="8">
        <f t="shared" si="51"/>
        <v>0.75</v>
      </c>
      <c r="D463" s="16" t="s">
        <v>42</v>
      </c>
      <c r="E463" s="16" t="s">
        <v>148</v>
      </c>
      <c r="F463" s="17" t="s">
        <v>34</v>
      </c>
      <c r="G463" s="17" t="s">
        <v>179</v>
      </c>
      <c r="H463" s="17" t="s">
        <v>29</v>
      </c>
      <c r="I463" s="17" t="s">
        <v>51</v>
      </c>
      <c r="J463" s="8">
        <v>2.78</v>
      </c>
      <c r="K463" s="8">
        <v>2.9</v>
      </c>
      <c r="L463" s="8">
        <f t="shared" si="86"/>
        <v>4.3165467625899323</v>
      </c>
      <c r="M463" s="9">
        <v>100.19</v>
      </c>
      <c r="N463" s="9">
        <v>114.47</v>
      </c>
      <c r="O463" s="10">
        <f t="shared" si="79"/>
        <v>14.252919453039226</v>
      </c>
      <c r="P463" s="11">
        <v>9.65</v>
      </c>
      <c r="Q463" s="11">
        <v>4.9800000000000004</v>
      </c>
      <c r="R463" s="33">
        <f t="shared" si="87"/>
        <v>-48.393782383419683</v>
      </c>
      <c r="S463" s="37">
        <f t="shared" si="80"/>
        <v>1.4440447959180762</v>
      </c>
      <c r="T463" s="37">
        <f t="shared" si="81"/>
        <v>1.6351364501295489</v>
      </c>
      <c r="U463" s="42">
        <f t="shared" si="82"/>
        <v>3.0008243766056055</v>
      </c>
      <c r="V463" s="41">
        <f t="shared" si="83"/>
        <v>2.1539038308345502</v>
      </c>
      <c r="W463" s="43">
        <f t="shared" si="84"/>
        <v>1.9845273133437926</v>
      </c>
      <c r="X463" s="43" t="e">
        <f t="shared" si="85"/>
        <v>#NUM!</v>
      </c>
    </row>
    <row r="464" spans="1:24" ht="14.25" customHeight="1">
      <c r="A464" s="49"/>
      <c r="B464" s="8">
        <v>2</v>
      </c>
      <c r="C464" s="8">
        <f t="shared" si="51"/>
        <v>1</v>
      </c>
      <c r="D464" s="16" t="s">
        <v>42</v>
      </c>
      <c r="E464" s="16" t="s">
        <v>148</v>
      </c>
      <c r="F464" s="17" t="s">
        <v>34</v>
      </c>
      <c r="G464" s="17" t="s">
        <v>179</v>
      </c>
      <c r="H464" s="17" t="s">
        <v>29</v>
      </c>
      <c r="I464" s="17" t="s">
        <v>51</v>
      </c>
      <c r="J464" s="8">
        <v>2.78</v>
      </c>
      <c r="K464" s="8">
        <v>2.98</v>
      </c>
      <c r="L464" s="8">
        <f t="shared" si="86"/>
        <v>7.1942446043165535</v>
      </c>
      <c r="M464" s="9">
        <v>100.19</v>
      </c>
      <c r="N464" s="9">
        <v>110.97</v>
      </c>
      <c r="O464" s="10">
        <f t="shared" si="79"/>
        <v>10.759556842000201</v>
      </c>
      <c r="P464" s="11">
        <v>9.65</v>
      </c>
      <c r="Q464" s="11">
        <v>4.2300000000000004</v>
      </c>
      <c r="R464" s="33">
        <f t="shared" si="87"/>
        <v>-56.165803108808291</v>
      </c>
      <c r="S464" s="37">
        <f t="shared" si="80"/>
        <v>1.4440447959180762</v>
      </c>
      <c r="T464" s="37">
        <f t="shared" si="81"/>
        <v>1.8569851997459053</v>
      </c>
      <c r="U464" s="42">
        <f t="shared" si="82"/>
        <v>3.0008243766056055</v>
      </c>
      <c r="V464" s="41">
        <f t="shared" si="83"/>
        <v>2.0317943842451145</v>
      </c>
      <c r="W464" s="43">
        <f t="shared" si="84"/>
        <v>1.9845273133437926</v>
      </c>
      <c r="X464" s="43" t="e">
        <f t="shared" si="85"/>
        <v>#NUM!</v>
      </c>
    </row>
    <row r="465" spans="1:24" ht="14.25" customHeight="1">
      <c r="A465" s="49"/>
      <c r="B465" s="8">
        <v>3</v>
      </c>
      <c r="C465" s="8">
        <f t="shared" si="51"/>
        <v>1.5</v>
      </c>
      <c r="D465" s="16" t="s">
        <v>42</v>
      </c>
      <c r="E465" s="16" t="s">
        <v>148</v>
      </c>
      <c r="F465" s="17" t="s">
        <v>34</v>
      </c>
      <c r="G465" s="17" t="s">
        <v>179</v>
      </c>
      <c r="H465" s="17" t="s">
        <v>29</v>
      </c>
      <c r="I465" s="17" t="s">
        <v>51</v>
      </c>
      <c r="J465" s="8">
        <v>2.78</v>
      </c>
      <c r="K465" s="8">
        <v>3.15</v>
      </c>
      <c r="L465" s="8">
        <f t="shared" si="86"/>
        <v>13.309352517985618</v>
      </c>
      <c r="M465" s="9">
        <v>100.19</v>
      </c>
      <c r="N465" s="9">
        <v>100.25</v>
      </c>
      <c r="O465" s="10">
        <f t="shared" si="79"/>
        <v>5.9886216189242711E-2</v>
      </c>
      <c r="P465" s="11">
        <v>9.65</v>
      </c>
      <c r="Q465" s="11">
        <v>3.93</v>
      </c>
      <c r="R465" s="33">
        <f t="shared" si="87"/>
        <v>-59.274611398963742</v>
      </c>
      <c r="S465" s="37">
        <f t="shared" si="80"/>
        <v>1.4440447959180762</v>
      </c>
      <c r="T465" s="37">
        <f t="shared" si="81"/>
        <v>2.1241569281489188</v>
      </c>
      <c r="U465" s="42">
        <f t="shared" si="82"/>
        <v>3.0008243766056055</v>
      </c>
      <c r="V465" s="41">
        <f t="shared" si="83"/>
        <v>-0.22267312622194541</v>
      </c>
      <c r="W465" s="43">
        <f t="shared" si="84"/>
        <v>1.9845273133437926</v>
      </c>
      <c r="X465" s="43" t="e">
        <f t="shared" si="85"/>
        <v>#NUM!</v>
      </c>
    </row>
    <row r="466" spans="1:24" ht="14.25" customHeight="1">
      <c r="A466" s="50"/>
      <c r="B466" s="8">
        <v>5</v>
      </c>
      <c r="C466" s="8">
        <f t="shared" si="51"/>
        <v>2.5</v>
      </c>
      <c r="D466" s="16" t="s">
        <v>42</v>
      </c>
      <c r="E466" s="16" t="s">
        <v>148</v>
      </c>
      <c r="F466" s="17" t="s">
        <v>34</v>
      </c>
      <c r="G466" s="17" t="s">
        <v>179</v>
      </c>
      <c r="H466" s="17" t="s">
        <v>29</v>
      </c>
      <c r="I466" s="17" t="s">
        <v>51</v>
      </c>
      <c r="J466" s="8">
        <v>2.78</v>
      </c>
      <c r="K466" s="8">
        <v>3.3</v>
      </c>
      <c r="L466" s="8">
        <f t="shared" si="86"/>
        <v>18.705035971223026</v>
      </c>
      <c r="M466" s="9" t="s">
        <v>31</v>
      </c>
      <c r="N466" s="9" t="s">
        <v>31</v>
      </c>
      <c r="O466" s="10" t="s">
        <v>31</v>
      </c>
      <c r="P466" s="11" t="s">
        <v>31</v>
      </c>
      <c r="Q466" s="11" t="s">
        <v>31</v>
      </c>
      <c r="R466" s="33" t="s">
        <v>31</v>
      </c>
      <c r="S466" s="37">
        <f t="shared" si="80"/>
        <v>1.4440447959180762</v>
      </c>
      <c r="T466" s="37">
        <f t="shared" si="81"/>
        <v>2.2719585477167228</v>
      </c>
      <c r="U466" s="42" t="e">
        <f t="shared" si="82"/>
        <v>#VALUE!</v>
      </c>
      <c r="V466" s="41" t="e">
        <f t="shared" si="83"/>
        <v>#VALUE!</v>
      </c>
      <c r="W466" s="43" t="e">
        <f t="shared" si="84"/>
        <v>#VALUE!</v>
      </c>
      <c r="X466" s="43" t="e">
        <f t="shared" si="85"/>
        <v>#VALUE!</v>
      </c>
    </row>
    <row r="467" spans="1:24" ht="14.25" customHeight="1">
      <c r="A467" s="45" t="s">
        <v>197</v>
      </c>
      <c r="B467" s="8">
        <v>0.5</v>
      </c>
      <c r="C467" s="8">
        <f t="shared" si="51"/>
        <v>0.25</v>
      </c>
      <c r="D467" s="16" t="s">
        <v>42</v>
      </c>
      <c r="E467" s="16" t="s">
        <v>148</v>
      </c>
      <c r="F467" s="17" t="s">
        <v>34</v>
      </c>
      <c r="G467" s="17" t="s">
        <v>198</v>
      </c>
      <c r="H467" s="17" t="s">
        <v>29</v>
      </c>
      <c r="I467" s="17" t="s">
        <v>36</v>
      </c>
      <c r="J467" s="8">
        <v>1.909</v>
      </c>
      <c r="K467" s="8">
        <v>2.2599999999999998</v>
      </c>
      <c r="L467" s="8">
        <f t="shared" si="86"/>
        <v>18.386589837611304</v>
      </c>
      <c r="M467" s="9">
        <v>54</v>
      </c>
      <c r="N467" s="9">
        <v>56</v>
      </c>
      <c r="O467" s="10">
        <f t="shared" si="79"/>
        <v>3.7037037037037033</v>
      </c>
      <c r="P467" s="11">
        <v>4.5</v>
      </c>
      <c r="Q467" s="11">
        <v>3.5</v>
      </c>
      <c r="R467" s="33">
        <f t="shared" si="87"/>
        <v>-22.222222222222221</v>
      </c>
      <c r="S467" s="37">
        <f t="shared" si="80"/>
        <v>1.2808059283936668</v>
      </c>
      <c r="T467" s="37">
        <f t="shared" si="81"/>
        <v>2.2645011880721571</v>
      </c>
      <c r="U467" s="42">
        <f t="shared" si="82"/>
        <v>2.7323937598229686</v>
      </c>
      <c r="V467" s="41">
        <f t="shared" si="83"/>
        <v>1.5686362358410126</v>
      </c>
      <c r="W467" s="43">
        <f t="shared" si="84"/>
        <v>1.6532125137753437</v>
      </c>
      <c r="X467" s="43" t="e">
        <f t="shared" si="85"/>
        <v>#NUM!</v>
      </c>
    </row>
    <row r="468" spans="1:24" ht="14.25" customHeight="1">
      <c r="A468" s="46"/>
      <c r="B468" s="8">
        <v>1</v>
      </c>
      <c r="C468" s="8">
        <f t="shared" si="51"/>
        <v>0.5</v>
      </c>
      <c r="D468" s="16" t="s">
        <v>42</v>
      </c>
      <c r="E468" s="16" t="s">
        <v>148</v>
      </c>
      <c r="F468" s="17" t="s">
        <v>34</v>
      </c>
      <c r="G468" s="17" t="s">
        <v>199</v>
      </c>
      <c r="H468" s="17" t="s">
        <v>29</v>
      </c>
      <c r="I468" s="17" t="s">
        <v>36</v>
      </c>
      <c r="J468" s="8">
        <v>1.909</v>
      </c>
      <c r="K468" s="8">
        <v>2.39</v>
      </c>
      <c r="L468" s="8">
        <f t="shared" si="86"/>
        <v>25.196437925615513</v>
      </c>
      <c r="M468" s="9">
        <v>54</v>
      </c>
      <c r="N468" s="9">
        <v>62</v>
      </c>
      <c r="O468" s="10">
        <f t="shared" si="79"/>
        <v>14.814814814814813</v>
      </c>
      <c r="P468" s="11">
        <v>4.5</v>
      </c>
      <c r="Q468" s="11">
        <v>3</v>
      </c>
      <c r="R468" s="33">
        <f t="shared" si="87"/>
        <v>-33.333333333333329</v>
      </c>
      <c r="S468" s="37">
        <f t="shared" si="80"/>
        <v>1.2808059283936668</v>
      </c>
      <c r="T468" s="37">
        <f t="shared" si="81"/>
        <v>2.4013391479801651</v>
      </c>
      <c r="U468" s="42">
        <f t="shared" si="82"/>
        <v>2.7323937598229686</v>
      </c>
      <c r="V468" s="41">
        <f t="shared" si="83"/>
        <v>2.1706962271689751</v>
      </c>
      <c r="W468" s="43">
        <f t="shared" si="84"/>
        <v>1.6532125137753437</v>
      </c>
      <c r="X468" s="43" t="e">
        <f t="shared" si="85"/>
        <v>#NUM!</v>
      </c>
    </row>
    <row r="469" spans="1:24" ht="14.25" customHeight="1">
      <c r="A469" s="46"/>
      <c r="B469" s="8">
        <v>2</v>
      </c>
      <c r="C469" s="8">
        <f t="shared" si="51"/>
        <v>1</v>
      </c>
      <c r="D469" s="16" t="s">
        <v>42</v>
      </c>
      <c r="E469" s="16" t="s">
        <v>148</v>
      </c>
      <c r="F469" s="17" t="s">
        <v>34</v>
      </c>
      <c r="G469" s="17" t="s">
        <v>37</v>
      </c>
      <c r="H469" s="17" t="s">
        <v>29</v>
      </c>
      <c r="I469" s="17" t="s">
        <v>36</v>
      </c>
      <c r="J469" s="8">
        <v>1.909</v>
      </c>
      <c r="K469" s="8">
        <v>2.5339999999999998</v>
      </c>
      <c r="L469" s="8">
        <f t="shared" si="86"/>
        <v>32.739654269250906</v>
      </c>
      <c r="M469" s="9">
        <v>54</v>
      </c>
      <c r="N469" s="9">
        <v>60</v>
      </c>
      <c r="O469" s="10">
        <f t="shared" si="79"/>
        <v>11.111111111111111</v>
      </c>
      <c r="P469" s="11">
        <v>4.5</v>
      </c>
      <c r="Q469" s="11">
        <v>2.5</v>
      </c>
      <c r="R469" s="33">
        <f t="shared" si="87"/>
        <v>-44.444444444444443</v>
      </c>
      <c r="S469" s="37">
        <f t="shared" si="80"/>
        <v>1.2808059283936668</v>
      </c>
      <c r="T469" s="37">
        <f t="shared" si="81"/>
        <v>2.5150740889504082</v>
      </c>
      <c r="U469" s="42">
        <f t="shared" si="82"/>
        <v>2.7323937598229686</v>
      </c>
      <c r="V469" s="41">
        <f t="shared" si="83"/>
        <v>2.0457574905606752</v>
      </c>
      <c r="W469" s="43">
        <f t="shared" si="84"/>
        <v>1.6532125137753437</v>
      </c>
      <c r="X469" s="43" t="e">
        <f t="shared" si="85"/>
        <v>#NUM!</v>
      </c>
    </row>
    <row r="470" spans="1:24" ht="14.25" customHeight="1">
      <c r="A470" s="49"/>
      <c r="B470" s="8">
        <v>3</v>
      </c>
      <c r="C470" s="8">
        <f t="shared" si="51"/>
        <v>1.5</v>
      </c>
      <c r="D470" s="16" t="s">
        <v>42</v>
      </c>
      <c r="E470" s="16" t="s">
        <v>148</v>
      </c>
      <c r="F470" s="17" t="s">
        <v>34</v>
      </c>
      <c r="G470" s="17" t="s">
        <v>37</v>
      </c>
      <c r="H470" s="17" t="s">
        <v>29</v>
      </c>
      <c r="I470" s="17" t="s">
        <v>36</v>
      </c>
      <c r="J470" s="8">
        <v>1.909</v>
      </c>
      <c r="K470" s="8">
        <v>2.5979999999999999</v>
      </c>
      <c r="L470" s="8">
        <f t="shared" si="86"/>
        <v>36.092194866422197</v>
      </c>
      <c r="M470" s="9">
        <v>54</v>
      </c>
      <c r="N470" s="9">
        <v>58</v>
      </c>
      <c r="O470" s="10">
        <f t="shared" si="79"/>
        <v>7.4074074074074066</v>
      </c>
      <c r="P470" s="11">
        <v>4.5</v>
      </c>
      <c r="Q470" s="11">
        <v>2</v>
      </c>
      <c r="R470" s="33">
        <f t="shared" si="87"/>
        <v>-55.555555555555557</v>
      </c>
      <c r="S470" s="37">
        <f t="shared" si="80"/>
        <v>1.2808059283936668</v>
      </c>
      <c r="T470" s="37">
        <f t="shared" si="81"/>
        <v>2.5574132935139589</v>
      </c>
      <c r="U470" s="42">
        <f t="shared" si="82"/>
        <v>2.7323937598229686</v>
      </c>
      <c r="V470" s="41">
        <f t="shared" si="83"/>
        <v>1.8696662315049939</v>
      </c>
      <c r="W470" s="43">
        <f t="shared" si="84"/>
        <v>1.6532125137753437</v>
      </c>
      <c r="X470" s="43" t="e">
        <f t="shared" si="85"/>
        <v>#NUM!</v>
      </c>
    </row>
    <row r="471" spans="1:24" ht="14.25" customHeight="1">
      <c r="A471" s="49"/>
      <c r="B471" s="8">
        <v>4</v>
      </c>
      <c r="C471" s="8">
        <f t="shared" si="51"/>
        <v>2</v>
      </c>
      <c r="D471" s="16" t="s">
        <v>42</v>
      </c>
      <c r="E471" s="16" t="s">
        <v>148</v>
      </c>
      <c r="F471" s="17" t="s">
        <v>34</v>
      </c>
      <c r="G471" s="17" t="s">
        <v>37</v>
      </c>
      <c r="H471" s="17" t="s">
        <v>29</v>
      </c>
      <c r="I471" s="17" t="s">
        <v>36</v>
      </c>
      <c r="J471" s="8">
        <v>1.909</v>
      </c>
      <c r="K471" s="8">
        <v>2.6389999999999998</v>
      </c>
      <c r="L471" s="8">
        <f t="shared" si="86"/>
        <v>38.239916186485054</v>
      </c>
      <c r="M471" s="9">
        <v>54</v>
      </c>
      <c r="N471" s="9">
        <v>56</v>
      </c>
      <c r="O471" s="10">
        <f t="shared" si="79"/>
        <v>3.7037037037037033</v>
      </c>
      <c r="P471" s="11">
        <v>4.5</v>
      </c>
      <c r="Q471" s="11">
        <v>1.5</v>
      </c>
      <c r="R471" s="33">
        <f t="shared" si="87"/>
        <v>-66.666666666666657</v>
      </c>
      <c r="S471" s="37">
        <f t="shared" si="80"/>
        <v>1.2808059283936668</v>
      </c>
      <c r="T471" s="37">
        <f t="shared" si="81"/>
        <v>2.5825169317267891</v>
      </c>
      <c r="U471" s="42">
        <f t="shared" si="82"/>
        <v>2.7323937598229686</v>
      </c>
      <c r="V471" s="41">
        <f t="shared" si="83"/>
        <v>1.5686362358410126</v>
      </c>
      <c r="W471" s="43">
        <f t="shared" si="84"/>
        <v>1.6532125137753437</v>
      </c>
      <c r="X471" s="43" t="e">
        <f t="shared" si="85"/>
        <v>#NUM!</v>
      </c>
    </row>
    <row r="472" spans="1:24" ht="14.25" customHeight="1">
      <c r="A472" s="50"/>
      <c r="B472" s="8">
        <v>5</v>
      </c>
      <c r="C472" s="8">
        <f t="shared" si="51"/>
        <v>2.5</v>
      </c>
      <c r="D472" s="16" t="s">
        <v>42</v>
      </c>
      <c r="E472" s="16" t="s">
        <v>148</v>
      </c>
      <c r="F472" s="17" t="s">
        <v>34</v>
      </c>
      <c r="G472" s="17" t="s">
        <v>37</v>
      </c>
      <c r="H472" s="17" t="s">
        <v>29</v>
      </c>
      <c r="I472" s="17" t="s">
        <v>36</v>
      </c>
      <c r="J472" s="8">
        <v>1.909</v>
      </c>
      <c r="K472" s="8">
        <v>2.7029999999999998</v>
      </c>
      <c r="L472" s="8">
        <f t="shared" si="86"/>
        <v>41.59245678365636</v>
      </c>
      <c r="M472" s="9">
        <v>54</v>
      </c>
      <c r="N472" s="9">
        <v>55</v>
      </c>
      <c r="O472" s="10">
        <f t="shared" si="79"/>
        <v>1.8518518518518516</v>
      </c>
      <c r="P472" s="11">
        <v>4.5</v>
      </c>
      <c r="Q472" s="11">
        <v>1</v>
      </c>
      <c r="R472" s="33">
        <f t="shared" si="87"/>
        <v>-77.777777777777786</v>
      </c>
      <c r="S472" s="37">
        <f t="shared" si="80"/>
        <v>1.2808059283936668</v>
      </c>
      <c r="T472" s="37">
        <f t="shared" si="81"/>
        <v>2.6190145740334296</v>
      </c>
      <c r="U472" s="42">
        <f t="shared" si="82"/>
        <v>2.7323937598229686</v>
      </c>
      <c r="V472" s="41">
        <f t="shared" si="83"/>
        <v>1.2676062401770314</v>
      </c>
      <c r="W472" s="43">
        <f t="shared" si="84"/>
        <v>1.6532125137753437</v>
      </c>
      <c r="X472" s="43" t="e">
        <f t="shared" si="85"/>
        <v>#NUM!</v>
      </c>
    </row>
    <row r="473" spans="1:24" ht="14.25" customHeight="1">
      <c r="A473" s="45" t="s">
        <v>200</v>
      </c>
      <c r="B473" s="8">
        <v>0.5</v>
      </c>
      <c r="C473" s="8">
        <f t="shared" ref="C473:C584" si="88">B473/2</f>
        <v>0.25</v>
      </c>
      <c r="D473" s="16" t="s">
        <v>42</v>
      </c>
      <c r="E473" s="16" t="s">
        <v>43</v>
      </c>
      <c r="F473" s="17" t="s">
        <v>27</v>
      </c>
      <c r="G473" s="17" t="s">
        <v>52</v>
      </c>
      <c r="H473" s="17" t="s">
        <v>29</v>
      </c>
      <c r="I473" s="17" t="s">
        <v>36</v>
      </c>
      <c r="J473" s="8">
        <v>2.754</v>
      </c>
      <c r="K473" s="8">
        <v>2.5659999999999998</v>
      </c>
      <c r="L473" s="8">
        <f t="shared" si="86"/>
        <v>-6.8264342774146751</v>
      </c>
      <c r="M473" s="9">
        <v>71.48</v>
      </c>
      <c r="N473" s="9">
        <v>67.400000000000006</v>
      </c>
      <c r="O473" s="10">
        <f t="shared" si="79"/>
        <v>-5.7078903189703389</v>
      </c>
      <c r="P473" s="11">
        <v>5.1100000000000003</v>
      </c>
      <c r="Q473" s="11">
        <v>3.48</v>
      </c>
      <c r="R473" s="33">
        <f t="shared" si="87"/>
        <v>-31.898238747553819</v>
      </c>
      <c r="S473" s="37">
        <f t="shared" si="80"/>
        <v>1.4399639359209049</v>
      </c>
      <c r="T473" s="37" t="e">
        <f t="shared" si="81"/>
        <v>#NUM!</v>
      </c>
      <c r="U473" s="42">
        <f t="shared" si="82"/>
        <v>2.8541845438336066</v>
      </c>
      <c r="V473" s="41" t="e">
        <f t="shared" si="83"/>
        <v>#NUM!</v>
      </c>
      <c r="W473" s="43">
        <f t="shared" si="84"/>
        <v>1.7084209001347128</v>
      </c>
      <c r="X473" s="43" t="e">
        <f t="shared" si="85"/>
        <v>#NUM!</v>
      </c>
    </row>
    <row r="474" spans="1:24" ht="14.25" customHeight="1">
      <c r="A474" s="46"/>
      <c r="B474" s="8">
        <v>1</v>
      </c>
      <c r="C474" s="8">
        <f t="shared" si="88"/>
        <v>0.5</v>
      </c>
      <c r="D474" s="16" t="s">
        <v>42</v>
      </c>
      <c r="E474" s="16" t="s">
        <v>43</v>
      </c>
      <c r="F474" s="17" t="s">
        <v>27</v>
      </c>
      <c r="G474" s="17" t="s">
        <v>52</v>
      </c>
      <c r="H474" s="17" t="s">
        <v>29</v>
      </c>
      <c r="I474" s="17" t="s">
        <v>36</v>
      </c>
      <c r="J474" s="8">
        <v>2.754</v>
      </c>
      <c r="K474" s="8">
        <v>2.8660000000000001</v>
      </c>
      <c r="L474" s="8">
        <f t="shared" si="86"/>
        <v>4.066811909949168</v>
      </c>
      <c r="M474" s="9">
        <v>71.48</v>
      </c>
      <c r="N474" s="9">
        <v>71.8</v>
      </c>
      <c r="O474" s="10">
        <f t="shared" si="79"/>
        <v>0.4476776720760956</v>
      </c>
      <c r="P474" s="11">
        <v>5.1100000000000003</v>
      </c>
      <c r="Q474" s="11">
        <v>3.32</v>
      </c>
      <c r="R474" s="33">
        <f t="shared" si="87"/>
        <v>-35.029354207436405</v>
      </c>
      <c r="S474" s="37">
        <f t="shared" si="80"/>
        <v>1.4399639359209049</v>
      </c>
      <c r="T474" s="37">
        <f t="shared" si="81"/>
        <v>1.6092540867492771</v>
      </c>
      <c r="U474" s="42">
        <f t="shared" si="82"/>
        <v>2.8541845438336066</v>
      </c>
      <c r="V474" s="41">
        <f t="shared" si="83"/>
        <v>0.65096543448629007</v>
      </c>
      <c r="W474" s="43">
        <f t="shared" si="84"/>
        <v>1.7084209001347128</v>
      </c>
      <c r="X474" s="43" t="e">
        <f t="shared" si="85"/>
        <v>#NUM!</v>
      </c>
    </row>
    <row r="475" spans="1:24" ht="14.25" customHeight="1">
      <c r="A475" s="46"/>
      <c r="B475" s="8">
        <v>2</v>
      </c>
      <c r="C475" s="8">
        <f t="shared" si="88"/>
        <v>1</v>
      </c>
      <c r="D475" s="16" t="s">
        <v>42</v>
      </c>
      <c r="E475" s="16" t="s">
        <v>43</v>
      </c>
      <c r="F475" s="17" t="s">
        <v>27</v>
      </c>
      <c r="G475" s="17" t="s">
        <v>52</v>
      </c>
      <c r="H475" s="17" t="s">
        <v>29</v>
      </c>
      <c r="I475" s="17" t="s">
        <v>36</v>
      </c>
      <c r="J475" s="8">
        <v>2.754</v>
      </c>
      <c r="K475" s="8">
        <v>2.4510000000000001</v>
      </c>
      <c r="L475" s="8">
        <f t="shared" si="86"/>
        <v>-11.002178649237472</v>
      </c>
      <c r="M475" s="9">
        <v>71.48</v>
      </c>
      <c r="N475" s="9">
        <v>61.86</v>
      </c>
      <c r="O475" s="10">
        <f t="shared" si="79"/>
        <v>-13.458310016787919</v>
      </c>
      <c r="P475" s="11">
        <v>5.1100000000000003</v>
      </c>
      <c r="Q475" s="11">
        <v>2.91</v>
      </c>
      <c r="R475" s="33">
        <f t="shared" si="87"/>
        <v>-43.052837573385524</v>
      </c>
      <c r="S475" s="37">
        <f t="shared" si="80"/>
        <v>1.4399639359209049</v>
      </c>
      <c r="T475" s="37" t="e">
        <f t="shared" si="81"/>
        <v>#NUM!</v>
      </c>
      <c r="U475" s="42">
        <f t="shared" si="82"/>
        <v>2.8541845438336066</v>
      </c>
      <c r="V475" s="41" t="e">
        <f t="shared" si="83"/>
        <v>#NUM!</v>
      </c>
      <c r="W475" s="43">
        <f t="shared" si="84"/>
        <v>1.7084209001347128</v>
      </c>
      <c r="X475" s="43" t="e">
        <f t="shared" si="85"/>
        <v>#NUM!</v>
      </c>
    </row>
    <row r="476" spans="1:24" ht="14.25" customHeight="1">
      <c r="A476" s="46"/>
      <c r="B476" s="8">
        <v>0.5</v>
      </c>
      <c r="C476" s="8">
        <f t="shared" si="88"/>
        <v>0.25</v>
      </c>
      <c r="D476" s="16" t="s">
        <v>42</v>
      </c>
      <c r="E476" s="16" t="s">
        <v>43</v>
      </c>
      <c r="F476" s="17" t="s">
        <v>34</v>
      </c>
      <c r="G476" s="17" t="s">
        <v>52</v>
      </c>
      <c r="H476" s="17" t="s">
        <v>29</v>
      </c>
      <c r="I476" s="17" t="s">
        <v>36</v>
      </c>
      <c r="J476" s="8">
        <v>2.754</v>
      </c>
      <c r="K476" s="8">
        <v>1.837</v>
      </c>
      <c r="L476" s="8">
        <f t="shared" si="86"/>
        <v>-33.297022512708793</v>
      </c>
      <c r="M476" s="9">
        <v>71.48</v>
      </c>
      <c r="N476" s="9">
        <v>44.39</v>
      </c>
      <c r="O476" s="10">
        <f t="shared" si="79"/>
        <v>-37.898712926692788</v>
      </c>
      <c r="P476" s="11">
        <v>5.1100000000000003</v>
      </c>
      <c r="Q476" s="11">
        <v>3.73</v>
      </c>
      <c r="R476" s="33">
        <f t="shared" si="87"/>
        <v>-27.005870841487283</v>
      </c>
      <c r="S476" s="37">
        <f t="shared" si="80"/>
        <v>1.4399639359209049</v>
      </c>
      <c r="T476" s="37" t="e">
        <f t="shared" si="81"/>
        <v>#NUM!</v>
      </c>
      <c r="U476" s="42">
        <f t="shared" si="82"/>
        <v>2.8541845438336066</v>
      </c>
      <c r="V476" s="41" t="e">
        <f t="shared" si="83"/>
        <v>#NUM!</v>
      </c>
      <c r="W476" s="43">
        <f t="shared" si="84"/>
        <v>1.7084209001347128</v>
      </c>
      <c r="X476" s="43" t="e">
        <f t="shared" si="85"/>
        <v>#NUM!</v>
      </c>
    </row>
    <row r="477" spans="1:24" ht="14.25" customHeight="1">
      <c r="A477" s="46"/>
      <c r="B477" s="8">
        <v>1</v>
      </c>
      <c r="C477" s="8">
        <f t="shared" si="88"/>
        <v>0.5</v>
      </c>
      <c r="D477" s="16" t="s">
        <v>42</v>
      </c>
      <c r="E477" s="16" t="s">
        <v>43</v>
      </c>
      <c r="F477" s="17" t="s">
        <v>34</v>
      </c>
      <c r="G477" s="17" t="s">
        <v>52</v>
      </c>
      <c r="H477" s="17" t="s">
        <v>29</v>
      </c>
      <c r="I477" s="17" t="s">
        <v>36</v>
      </c>
      <c r="J477" s="8">
        <v>2.754</v>
      </c>
      <c r="K477" s="8">
        <v>2.3679999999999999</v>
      </c>
      <c r="L477" s="8">
        <f t="shared" si="86"/>
        <v>-14.015976761074805</v>
      </c>
      <c r="M477" s="9">
        <v>71.48</v>
      </c>
      <c r="N477" s="9">
        <v>58.22</v>
      </c>
      <c r="O477" s="10">
        <f t="shared" si="79"/>
        <v>-18.550643536653617</v>
      </c>
      <c r="P477" s="11">
        <v>5.1100000000000003</v>
      </c>
      <c r="Q477" s="11">
        <v>3.48</v>
      </c>
      <c r="R477" s="33">
        <f t="shared" si="87"/>
        <v>-31.898238747553819</v>
      </c>
      <c r="S477" s="37">
        <f t="shared" si="80"/>
        <v>1.4399639359209049</v>
      </c>
      <c r="T477" s="37" t="e">
        <f t="shared" si="81"/>
        <v>#NUM!</v>
      </c>
      <c r="U477" s="42">
        <f t="shared" si="82"/>
        <v>2.8541845438336066</v>
      </c>
      <c r="V477" s="41" t="e">
        <f t="shared" si="83"/>
        <v>#NUM!</v>
      </c>
      <c r="W477" s="43">
        <f t="shared" si="84"/>
        <v>1.7084209001347128</v>
      </c>
      <c r="X477" s="43" t="e">
        <f t="shared" si="85"/>
        <v>#NUM!</v>
      </c>
    </row>
    <row r="478" spans="1:24" ht="14.25" customHeight="1">
      <c r="A478" s="46"/>
      <c r="B478" s="8">
        <v>2</v>
      </c>
      <c r="C478" s="8">
        <f t="shared" si="88"/>
        <v>1</v>
      </c>
      <c r="D478" s="16" t="s">
        <v>42</v>
      </c>
      <c r="E478" s="16" t="s">
        <v>43</v>
      </c>
      <c r="F478" s="17" t="s">
        <v>34</v>
      </c>
      <c r="G478" s="17" t="s">
        <v>52</v>
      </c>
      <c r="H478" s="17" t="s">
        <v>29</v>
      </c>
      <c r="I478" s="17" t="s">
        <v>36</v>
      </c>
      <c r="J478" s="8">
        <v>2.754</v>
      </c>
      <c r="K478" s="8">
        <v>2.2509999999999999</v>
      </c>
      <c r="L478" s="8">
        <f t="shared" si="86"/>
        <v>-18.264342774146698</v>
      </c>
      <c r="M478" s="9">
        <v>71.48</v>
      </c>
      <c r="N478" s="9">
        <v>58.87</v>
      </c>
      <c r="O478" s="10">
        <f t="shared" si="79"/>
        <v>-17.641298265249027</v>
      </c>
      <c r="P478" s="11">
        <v>5.1100000000000003</v>
      </c>
      <c r="Q478" s="11">
        <v>3.41</v>
      </c>
      <c r="R478" s="33">
        <f t="shared" si="87"/>
        <v>-33.268101761252453</v>
      </c>
      <c r="S478" s="37">
        <f t="shared" si="80"/>
        <v>1.4399639359209049</v>
      </c>
      <c r="T478" s="37" t="e">
        <f t="shared" si="81"/>
        <v>#NUM!</v>
      </c>
      <c r="U478" s="42">
        <f t="shared" si="82"/>
        <v>2.8541845438336066</v>
      </c>
      <c r="V478" s="41" t="e">
        <f t="shared" si="83"/>
        <v>#NUM!</v>
      </c>
      <c r="W478" s="43">
        <f t="shared" si="84"/>
        <v>1.7084209001347128</v>
      </c>
      <c r="X478" s="43" t="e">
        <f t="shared" si="85"/>
        <v>#NUM!</v>
      </c>
    </row>
    <row r="479" spans="1:24" ht="14.25" customHeight="1">
      <c r="A479" s="46"/>
      <c r="B479" s="8">
        <v>0.5</v>
      </c>
      <c r="C479" s="8">
        <f t="shared" si="88"/>
        <v>0.25</v>
      </c>
      <c r="D479" s="16" t="s">
        <v>42</v>
      </c>
      <c r="E479" s="16" t="s">
        <v>43</v>
      </c>
      <c r="F479" s="17" t="s">
        <v>27</v>
      </c>
      <c r="G479" s="17" t="s">
        <v>52</v>
      </c>
      <c r="H479" s="17" t="s">
        <v>29</v>
      </c>
      <c r="I479" s="17" t="s">
        <v>46</v>
      </c>
      <c r="J479" s="8">
        <v>1.97</v>
      </c>
      <c r="K479" s="8">
        <v>2.226</v>
      </c>
      <c r="L479" s="8">
        <f t="shared" si="86"/>
        <v>12.99492385786802</v>
      </c>
      <c r="M479" s="9">
        <v>93.9</v>
      </c>
      <c r="N479" s="9">
        <v>109.78</v>
      </c>
      <c r="O479" s="10">
        <f t="shared" si="79"/>
        <v>16.911608093716715</v>
      </c>
      <c r="P479" s="11" t="s">
        <v>31</v>
      </c>
      <c r="Q479" s="11" t="s">
        <v>31</v>
      </c>
      <c r="R479" s="33" t="s">
        <v>31</v>
      </c>
      <c r="S479" s="37">
        <f t="shared" si="80"/>
        <v>1.2944662261615929</v>
      </c>
      <c r="T479" s="37">
        <f t="shared" si="81"/>
        <v>2.1137737391502567</v>
      </c>
      <c r="U479" s="42">
        <f t="shared" si="82"/>
        <v>2.9726655922661109</v>
      </c>
      <c r="V479" s="41">
        <f t="shared" si="83"/>
        <v>2.2281849058249663</v>
      </c>
      <c r="W479" s="43" t="e">
        <f t="shared" si="84"/>
        <v>#VALUE!</v>
      </c>
      <c r="X479" s="43" t="e">
        <f t="shared" si="85"/>
        <v>#VALUE!</v>
      </c>
    </row>
    <row r="480" spans="1:24" ht="14.25" customHeight="1">
      <c r="A480" s="46"/>
      <c r="B480" s="8">
        <v>1</v>
      </c>
      <c r="C480" s="8">
        <f t="shared" si="88"/>
        <v>0.5</v>
      </c>
      <c r="D480" s="16" t="s">
        <v>42</v>
      </c>
      <c r="E480" s="16" t="s">
        <v>43</v>
      </c>
      <c r="F480" s="17" t="s">
        <v>27</v>
      </c>
      <c r="G480" s="17" t="s">
        <v>52</v>
      </c>
      <c r="H480" s="17" t="s">
        <v>29</v>
      </c>
      <c r="I480" s="17" t="s">
        <v>46</v>
      </c>
      <c r="J480" s="8">
        <v>1.97</v>
      </c>
      <c r="K480" s="8">
        <v>2.2519999999999998</v>
      </c>
      <c r="L480" s="8">
        <f t="shared" si="86"/>
        <v>14.314720812182733</v>
      </c>
      <c r="M480" s="9">
        <v>93.9</v>
      </c>
      <c r="N480" s="9">
        <v>108.66</v>
      </c>
      <c r="O480" s="10">
        <f t="shared" si="79"/>
        <v>15.718849840255581</v>
      </c>
      <c r="P480" s="11" t="s">
        <v>31</v>
      </c>
      <c r="Q480" s="11" t="s">
        <v>31</v>
      </c>
      <c r="R480" s="33" t="s">
        <v>31</v>
      </c>
      <c r="S480" s="37">
        <f t="shared" si="80"/>
        <v>1.2944662261615929</v>
      </c>
      <c r="T480" s="37">
        <f t="shared" si="81"/>
        <v>2.155782882157768</v>
      </c>
      <c r="U480" s="42">
        <f t="shared" si="82"/>
        <v>2.9726655922661109</v>
      </c>
      <c r="V480" s="41">
        <f t="shared" si="83"/>
        <v>2.1964207652209113</v>
      </c>
      <c r="W480" s="43" t="e">
        <f t="shared" si="84"/>
        <v>#VALUE!</v>
      </c>
      <c r="X480" s="43" t="e">
        <f t="shared" si="85"/>
        <v>#VALUE!</v>
      </c>
    </row>
    <row r="481" spans="1:24" ht="14.25" customHeight="1">
      <c r="A481" s="46"/>
      <c r="B481" s="8">
        <v>2</v>
      </c>
      <c r="C481" s="8">
        <f t="shared" si="88"/>
        <v>1</v>
      </c>
      <c r="D481" s="16" t="s">
        <v>42</v>
      </c>
      <c r="E481" s="16" t="s">
        <v>43</v>
      </c>
      <c r="F481" s="17" t="s">
        <v>27</v>
      </c>
      <c r="G481" s="17" t="s">
        <v>52</v>
      </c>
      <c r="H481" s="17" t="s">
        <v>29</v>
      </c>
      <c r="I481" s="17" t="s">
        <v>46</v>
      </c>
      <c r="J481" s="8">
        <v>1.97</v>
      </c>
      <c r="K481" s="8">
        <v>2.5379999999999998</v>
      </c>
      <c r="L481" s="8">
        <f t="shared" si="86"/>
        <v>28.832487309644662</v>
      </c>
      <c r="M481" s="9">
        <v>93.9</v>
      </c>
      <c r="N481" s="9">
        <v>104.68</v>
      </c>
      <c r="O481" s="10">
        <f t="shared" si="79"/>
        <v>11.480298189563367</v>
      </c>
      <c r="P481" s="11" t="s">
        <v>31</v>
      </c>
      <c r="Q481" s="11" t="s">
        <v>31</v>
      </c>
      <c r="R481" s="33" t="s">
        <v>31</v>
      </c>
      <c r="S481" s="37">
        <f t="shared" si="80"/>
        <v>1.2944662261615929</v>
      </c>
      <c r="T481" s="37">
        <f t="shared" si="81"/>
        <v>2.4598821095494259</v>
      </c>
      <c r="U481" s="42">
        <f t="shared" si="82"/>
        <v>2.9726655922661109</v>
      </c>
      <c r="V481" s="41">
        <f t="shared" si="83"/>
        <v>2.0599531685846091</v>
      </c>
      <c r="W481" s="43" t="e">
        <f t="shared" si="84"/>
        <v>#VALUE!</v>
      </c>
      <c r="X481" s="43" t="e">
        <f t="shared" si="85"/>
        <v>#VALUE!</v>
      </c>
    </row>
    <row r="482" spans="1:24" ht="14.25" customHeight="1">
      <c r="A482" s="49"/>
      <c r="B482" s="8">
        <v>0.5</v>
      </c>
      <c r="C482" s="8">
        <f t="shared" si="88"/>
        <v>0.25</v>
      </c>
      <c r="D482" s="16" t="s">
        <v>42</v>
      </c>
      <c r="E482" s="16" t="s">
        <v>43</v>
      </c>
      <c r="F482" s="17" t="s">
        <v>59</v>
      </c>
      <c r="G482" s="17" t="s">
        <v>52</v>
      </c>
      <c r="H482" s="17" t="s">
        <v>29</v>
      </c>
      <c r="I482" s="17" t="s">
        <v>46</v>
      </c>
      <c r="J482" s="8">
        <v>1.97</v>
      </c>
      <c r="K482" s="8">
        <v>2.1890000000000001</v>
      </c>
      <c r="L482" s="8">
        <f t="shared" si="86"/>
        <v>11.116751269035538</v>
      </c>
      <c r="M482" s="9">
        <v>93.9</v>
      </c>
      <c r="N482" s="9">
        <v>83.65</v>
      </c>
      <c r="O482" s="10">
        <f t="shared" si="79"/>
        <v>-10.915867944621937</v>
      </c>
      <c r="P482" s="11" t="s">
        <v>31</v>
      </c>
      <c r="Q482" s="11" t="s">
        <v>31</v>
      </c>
      <c r="R482" s="33" t="s">
        <v>31</v>
      </c>
      <c r="S482" s="37">
        <f t="shared" si="80"/>
        <v>1.2944662261615929</v>
      </c>
      <c r="T482" s="37">
        <f t="shared" si="81"/>
        <v>2.0459778886785256</v>
      </c>
      <c r="U482" s="42">
        <f t="shared" si="82"/>
        <v>2.9726655922661109</v>
      </c>
      <c r="V482" s="41" t="e">
        <f t="shared" si="83"/>
        <v>#NUM!</v>
      </c>
      <c r="W482" s="43" t="e">
        <f t="shared" si="84"/>
        <v>#VALUE!</v>
      </c>
      <c r="X482" s="43" t="e">
        <f t="shared" si="85"/>
        <v>#VALUE!</v>
      </c>
    </row>
    <row r="483" spans="1:24" ht="14.25" customHeight="1">
      <c r="A483" s="49"/>
      <c r="B483" s="8">
        <v>1</v>
      </c>
      <c r="C483" s="8">
        <f t="shared" si="88"/>
        <v>0.5</v>
      </c>
      <c r="D483" s="16" t="s">
        <v>42</v>
      </c>
      <c r="E483" s="16" t="s">
        <v>43</v>
      </c>
      <c r="F483" s="17" t="s">
        <v>59</v>
      </c>
      <c r="G483" s="17" t="s">
        <v>52</v>
      </c>
      <c r="H483" s="17" t="s">
        <v>29</v>
      </c>
      <c r="I483" s="17" t="s">
        <v>46</v>
      </c>
      <c r="J483" s="8">
        <v>1.97</v>
      </c>
      <c r="K483" s="8">
        <v>2.117</v>
      </c>
      <c r="L483" s="8">
        <f t="shared" si="86"/>
        <v>7.4619289340101531</v>
      </c>
      <c r="M483" s="9">
        <v>93.9</v>
      </c>
      <c r="N483" s="9">
        <v>86.72</v>
      </c>
      <c r="O483" s="10">
        <f t="shared" si="79"/>
        <v>-7.6464323748668868</v>
      </c>
      <c r="P483" s="11" t="s">
        <v>31</v>
      </c>
      <c r="Q483" s="11" t="s">
        <v>31</v>
      </c>
      <c r="R483" s="33" t="s">
        <v>31</v>
      </c>
      <c r="S483" s="37">
        <f t="shared" si="80"/>
        <v>1.2944662261615929</v>
      </c>
      <c r="T483" s="37">
        <f t="shared" si="81"/>
        <v>1.8728511085865833</v>
      </c>
      <c r="U483" s="42">
        <f t="shared" si="82"/>
        <v>2.9726655922661109</v>
      </c>
      <c r="V483" s="41" t="e">
        <f t="shared" si="83"/>
        <v>#NUM!</v>
      </c>
      <c r="W483" s="43" t="e">
        <f t="shared" si="84"/>
        <v>#VALUE!</v>
      </c>
      <c r="X483" s="43" t="e">
        <f t="shared" si="85"/>
        <v>#VALUE!</v>
      </c>
    </row>
    <row r="484" spans="1:24" ht="14.25" customHeight="1">
      <c r="A484" s="50"/>
      <c r="B484" s="8">
        <v>2</v>
      </c>
      <c r="C484" s="8">
        <f t="shared" si="88"/>
        <v>1</v>
      </c>
      <c r="D484" s="16" t="s">
        <v>42</v>
      </c>
      <c r="E484" s="16" t="s">
        <v>43</v>
      </c>
      <c r="F484" s="17" t="s">
        <v>59</v>
      </c>
      <c r="G484" s="17" t="s">
        <v>52</v>
      </c>
      <c r="H484" s="17" t="s">
        <v>29</v>
      </c>
      <c r="I484" s="17" t="s">
        <v>46</v>
      </c>
      <c r="J484" s="8">
        <v>1.97</v>
      </c>
      <c r="K484" s="8">
        <v>2.2370000000000001</v>
      </c>
      <c r="L484" s="8">
        <f t="shared" si="86"/>
        <v>13.553299492385792</v>
      </c>
      <c r="M484" s="9">
        <v>93.9</v>
      </c>
      <c r="N484" s="9">
        <v>94.71</v>
      </c>
      <c r="O484" s="10">
        <f t="shared" si="79"/>
        <v>0.86261980830669649</v>
      </c>
      <c r="P484" s="11" t="s">
        <v>31</v>
      </c>
      <c r="Q484" s="11" t="s">
        <v>31</v>
      </c>
      <c r="R484" s="33" t="s">
        <v>31</v>
      </c>
      <c r="S484" s="37">
        <f t="shared" si="80"/>
        <v>1.2944662261615929</v>
      </c>
      <c r="T484" s="37">
        <f t="shared" si="81"/>
        <v>2.1320450352029825</v>
      </c>
      <c r="U484" s="42">
        <f t="shared" si="82"/>
        <v>2.9726655922661109</v>
      </c>
      <c r="V484" s="41">
        <f t="shared" si="83"/>
        <v>0.93581942661253237</v>
      </c>
      <c r="W484" s="43" t="e">
        <f t="shared" si="84"/>
        <v>#VALUE!</v>
      </c>
      <c r="X484" s="43" t="e">
        <f t="shared" si="85"/>
        <v>#VALUE!</v>
      </c>
    </row>
    <row r="485" spans="1:24" ht="14.25" customHeight="1">
      <c r="A485" s="45" t="s">
        <v>201</v>
      </c>
      <c r="B485" s="12">
        <v>1</v>
      </c>
      <c r="C485" s="8">
        <f t="shared" si="88"/>
        <v>0.5</v>
      </c>
      <c r="D485" s="16" t="s">
        <v>42</v>
      </c>
      <c r="E485" s="16" t="s">
        <v>43</v>
      </c>
      <c r="F485" s="17" t="s">
        <v>34</v>
      </c>
      <c r="G485" s="17" t="s">
        <v>28</v>
      </c>
      <c r="H485" s="17" t="s">
        <v>29</v>
      </c>
      <c r="I485" s="17" t="s">
        <v>51</v>
      </c>
      <c r="J485" s="12">
        <v>2.93</v>
      </c>
      <c r="K485" s="12">
        <v>2.98</v>
      </c>
      <c r="L485" s="12">
        <f t="shared" si="86"/>
        <v>1.7064846416382191</v>
      </c>
      <c r="M485" s="9">
        <v>97</v>
      </c>
      <c r="N485" s="9">
        <v>97.3</v>
      </c>
      <c r="O485" s="10">
        <f t="shared" si="79"/>
        <v>0.30927835051546099</v>
      </c>
      <c r="P485" s="11" t="s">
        <v>31</v>
      </c>
      <c r="Q485" s="11" t="s">
        <v>31</v>
      </c>
      <c r="R485" s="33" t="s">
        <v>31</v>
      </c>
      <c r="S485" s="37">
        <f t="shared" si="80"/>
        <v>1.4668676203541096</v>
      </c>
      <c r="T485" s="37">
        <f t="shared" si="81"/>
        <v>1.2321023839819079</v>
      </c>
      <c r="U485" s="42">
        <f t="shared" si="82"/>
        <v>2.9867717342662448</v>
      </c>
      <c r="V485" s="41">
        <f t="shared" si="83"/>
        <v>0.49034952045341351</v>
      </c>
      <c r="W485" s="43" t="e">
        <f t="shared" si="84"/>
        <v>#VALUE!</v>
      </c>
      <c r="X485" s="43" t="e">
        <f t="shared" si="85"/>
        <v>#VALUE!</v>
      </c>
    </row>
    <row r="486" spans="1:24" ht="14.25" customHeight="1">
      <c r="A486" s="49"/>
      <c r="B486" s="12">
        <v>2</v>
      </c>
      <c r="C486" s="8">
        <f t="shared" si="88"/>
        <v>1</v>
      </c>
      <c r="D486" s="16" t="s">
        <v>42</v>
      </c>
      <c r="E486" s="16" t="s">
        <v>43</v>
      </c>
      <c r="F486" s="17" t="s">
        <v>34</v>
      </c>
      <c r="G486" s="17" t="s">
        <v>188</v>
      </c>
      <c r="H486" s="17" t="s">
        <v>29</v>
      </c>
      <c r="I486" s="17" t="s">
        <v>51</v>
      </c>
      <c r="J486" s="12">
        <v>2.93</v>
      </c>
      <c r="K486" s="12">
        <v>3.44</v>
      </c>
      <c r="L486" s="12">
        <f t="shared" si="86"/>
        <v>17.406143344709889</v>
      </c>
      <c r="M486" s="9">
        <v>97</v>
      </c>
      <c r="N486" s="9">
        <v>105.5</v>
      </c>
      <c r="O486" s="10">
        <f t="shared" si="79"/>
        <v>8.7628865979381434</v>
      </c>
      <c r="P486" s="11" t="s">
        <v>31</v>
      </c>
      <c r="Q486" s="11" t="s">
        <v>31</v>
      </c>
      <c r="R486" s="33" t="s">
        <v>31</v>
      </c>
      <c r="S486" s="37">
        <f t="shared" si="80"/>
        <v>1.4668676203541096</v>
      </c>
      <c r="T486" s="37">
        <f t="shared" si="81"/>
        <v>2.2407025557438267</v>
      </c>
      <c r="U486" s="42">
        <f t="shared" si="82"/>
        <v>2.9867717342662448</v>
      </c>
      <c r="V486" s="41">
        <f t="shared" si="83"/>
        <v>1.9426471914480479</v>
      </c>
      <c r="W486" s="43" t="e">
        <f t="shared" si="84"/>
        <v>#VALUE!</v>
      </c>
      <c r="X486" s="43" t="e">
        <f t="shared" si="85"/>
        <v>#VALUE!</v>
      </c>
    </row>
    <row r="487" spans="1:24" ht="14.25" customHeight="1">
      <c r="A487" s="50"/>
      <c r="B487" s="12">
        <v>3</v>
      </c>
      <c r="C487" s="8">
        <f t="shared" si="88"/>
        <v>1.5</v>
      </c>
      <c r="D487" s="16" t="s">
        <v>42</v>
      </c>
      <c r="E487" s="16" t="s">
        <v>43</v>
      </c>
      <c r="F487" s="17" t="s">
        <v>34</v>
      </c>
      <c r="G487" s="17" t="s">
        <v>37</v>
      </c>
      <c r="H487" s="17" t="s">
        <v>29</v>
      </c>
      <c r="I487" s="17" t="s">
        <v>51</v>
      </c>
      <c r="J487" s="12">
        <v>2.93</v>
      </c>
      <c r="K487" s="12">
        <v>3.06</v>
      </c>
      <c r="L487" s="12">
        <f t="shared" si="86"/>
        <v>4.4368600682593815</v>
      </c>
      <c r="M487" s="9">
        <v>97</v>
      </c>
      <c r="N487" s="9">
        <v>98.6</v>
      </c>
      <c r="O487" s="10">
        <f t="shared" si="79"/>
        <v>1.6494845360824684</v>
      </c>
      <c r="P487" s="11" t="s">
        <v>31</v>
      </c>
      <c r="Q487" s="11" t="s">
        <v>31</v>
      </c>
      <c r="R487" s="33" t="s">
        <v>31</v>
      </c>
      <c r="S487" s="37">
        <f t="shared" si="80"/>
        <v>1.4668676203541096</v>
      </c>
      <c r="T487" s="37">
        <f t="shared" si="81"/>
        <v>1.6470757319527269</v>
      </c>
      <c r="U487" s="42">
        <f t="shared" si="82"/>
        <v>2.9867717342662448</v>
      </c>
      <c r="V487" s="41">
        <f t="shared" si="83"/>
        <v>1.2173482483896785</v>
      </c>
      <c r="W487" s="43" t="e">
        <f t="shared" si="84"/>
        <v>#VALUE!</v>
      </c>
      <c r="X487" s="43" t="e">
        <f t="shared" si="85"/>
        <v>#VALUE!</v>
      </c>
    </row>
    <row r="488" spans="1:24" ht="14.25" customHeight="1">
      <c r="A488" s="48" t="s">
        <v>202</v>
      </c>
      <c r="B488" s="12">
        <v>1</v>
      </c>
      <c r="C488" s="12">
        <f t="shared" si="88"/>
        <v>0.5</v>
      </c>
      <c r="D488" s="16" t="s">
        <v>42</v>
      </c>
      <c r="E488" s="16" t="s">
        <v>43</v>
      </c>
      <c r="F488" s="17" t="s">
        <v>34</v>
      </c>
      <c r="G488" s="15" t="s">
        <v>37</v>
      </c>
      <c r="H488" s="17" t="s">
        <v>29</v>
      </c>
      <c r="I488" s="17" t="s">
        <v>51</v>
      </c>
      <c r="J488" s="12">
        <v>0.9</v>
      </c>
      <c r="K488" s="12">
        <v>1.6</v>
      </c>
      <c r="L488" s="12">
        <f t="shared" si="86"/>
        <v>77.777777777777786</v>
      </c>
      <c r="M488" s="9">
        <v>58.5</v>
      </c>
      <c r="N488" s="9">
        <v>85.2</v>
      </c>
      <c r="O488" s="10">
        <f t="shared" si="79"/>
        <v>45.641025641025642</v>
      </c>
      <c r="P488" s="11" t="s">
        <v>31</v>
      </c>
      <c r="Q488" s="11" t="s">
        <v>31</v>
      </c>
      <c r="R488" s="33" t="s">
        <v>31</v>
      </c>
      <c r="S488" s="37">
        <f t="shared" si="80"/>
        <v>0.95424250943932487</v>
      </c>
      <c r="T488" s="37">
        <f t="shared" si="81"/>
        <v>2.8908555305749322</v>
      </c>
      <c r="U488" s="42">
        <f t="shared" si="82"/>
        <v>2.7671558660821804</v>
      </c>
      <c r="V488" s="41">
        <f t="shared" si="83"/>
        <v>2.659355395282395</v>
      </c>
      <c r="W488" s="43" t="e">
        <f t="shared" si="84"/>
        <v>#VALUE!</v>
      </c>
      <c r="X488" s="43" t="e">
        <f t="shared" si="85"/>
        <v>#VALUE!</v>
      </c>
    </row>
    <row r="489" spans="1:24" ht="14.25" customHeight="1">
      <c r="A489" s="54"/>
      <c r="B489" s="12">
        <v>3</v>
      </c>
      <c r="C489" s="12">
        <f t="shared" si="88"/>
        <v>1.5</v>
      </c>
      <c r="D489" s="16" t="s">
        <v>42</v>
      </c>
      <c r="E489" s="16" t="s">
        <v>43</v>
      </c>
      <c r="F489" s="17" t="s">
        <v>34</v>
      </c>
      <c r="G489" s="15" t="s">
        <v>37</v>
      </c>
      <c r="H489" s="17" t="s">
        <v>29</v>
      </c>
      <c r="I489" s="17" t="s">
        <v>51</v>
      </c>
      <c r="J489" s="12">
        <v>0.9</v>
      </c>
      <c r="K489" s="12">
        <v>1.5</v>
      </c>
      <c r="L489" s="12">
        <f t="shared" si="86"/>
        <v>66.666666666666657</v>
      </c>
      <c r="M489" s="9">
        <v>58.5</v>
      </c>
      <c r="N489" s="9">
        <v>58.7</v>
      </c>
      <c r="O489" s="10">
        <f t="shared" si="79"/>
        <v>0.34188034188034672</v>
      </c>
      <c r="P489" s="11" t="s">
        <v>31</v>
      </c>
      <c r="Q489" s="11" t="s">
        <v>31</v>
      </c>
      <c r="R489" s="33" t="s">
        <v>31</v>
      </c>
      <c r="S489" s="37">
        <f t="shared" si="80"/>
        <v>0.95424250943932487</v>
      </c>
      <c r="T489" s="37">
        <f t="shared" si="81"/>
        <v>2.8239087409443187</v>
      </c>
      <c r="U489" s="42">
        <f t="shared" si="82"/>
        <v>2.7671558660821804</v>
      </c>
      <c r="V489" s="41">
        <f t="shared" si="83"/>
        <v>0.53387412958180691</v>
      </c>
      <c r="W489" s="43" t="e">
        <f t="shared" si="84"/>
        <v>#VALUE!</v>
      </c>
      <c r="X489" s="43" t="e">
        <f t="shared" si="85"/>
        <v>#VALUE!</v>
      </c>
    </row>
    <row r="490" spans="1:24" ht="14.25" customHeight="1">
      <c r="A490" s="54"/>
      <c r="B490" s="12">
        <v>5</v>
      </c>
      <c r="C490" s="12">
        <f t="shared" si="88"/>
        <v>2.5</v>
      </c>
      <c r="D490" s="16" t="s">
        <v>42</v>
      </c>
      <c r="E490" s="16" t="s">
        <v>43</v>
      </c>
      <c r="F490" s="17" t="s">
        <v>34</v>
      </c>
      <c r="G490" s="15" t="s">
        <v>37</v>
      </c>
      <c r="H490" s="17" t="s">
        <v>29</v>
      </c>
      <c r="I490" s="17" t="s">
        <v>51</v>
      </c>
      <c r="J490" s="12">
        <v>0.9</v>
      </c>
      <c r="K490" s="12">
        <v>1.4</v>
      </c>
      <c r="L490" s="12">
        <f t="shared" si="86"/>
        <v>55.55555555555555</v>
      </c>
      <c r="M490" s="9">
        <v>58.5</v>
      </c>
      <c r="N490" s="9">
        <v>61.2</v>
      </c>
      <c r="O490" s="10">
        <f t="shared" si="79"/>
        <v>4.6153846153846203</v>
      </c>
      <c r="P490" s="11" t="s">
        <v>31</v>
      </c>
      <c r="Q490" s="11" t="s">
        <v>31</v>
      </c>
      <c r="R490" s="33" t="s">
        <v>31</v>
      </c>
      <c r="S490" s="37">
        <f t="shared" si="80"/>
        <v>0.95424250943932487</v>
      </c>
      <c r="T490" s="37">
        <f t="shared" si="81"/>
        <v>2.744727494896694</v>
      </c>
      <c r="U490" s="42">
        <f t="shared" si="82"/>
        <v>2.7671558660821804</v>
      </c>
      <c r="V490" s="41">
        <f t="shared" si="83"/>
        <v>1.6642078980768074</v>
      </c>
      <c r="W490" s="43" t="e">
        <f t="shared" si="84"/>
        <v>#VALUE!</v>
      </c>
      <c r="X490" s="43" t="e">
        <f t="shared" si="85"/>
        <v>#VALUE!</v>
      </c>
    </row>
    <row r="491" spans="1:24" ht="14.25" customHeight="1">
      <c r="A491" s="54"/>
      <c r="B491" s="12">
        <v>1</v>
      </c>
      <c r="C491" s="12">
        <f t="shared" si="88"/>
        <v>0.5</v>
      </c>
      <c r="D491" s="16" t="s">
        <v>42</v>
      </c>
      <c r="E491" s="16" t="s">
        <v>43</v>
      </c>
      <c r="F491" s="17" t="s">
        <v>34</v>
      </c>
      <c r="G491" s="17" t="s">
        <v>52</v>
      </c>
      <c r="H491" s="17" t="s">
        <v>29</v>
      </c>
      <c r="I491" s="17" t="s">
        <v>51</v>
      </c>
      <c r="J491" s="12">
        <v>0.9</v>
      </c>
      <c r="K491" s="12">
        <v>1.5</v>
      </c>
      <c r="L491" s="12">
        <f t="shared" si="86"/>
        <v>66.666666666666657</v>
      </c>
      <c r="M491" s="9">
        <v>58.5</v>
      </c>
      <c r="N491" s="9">
        <v>70.7</v>
      </c>
      <c r="O491" s="10">
        <f t="shared" si="79"/>
        <v>20.854700854700859</v>
      </c>
      <c r="P491" s="11" t="s">
        <v>31</v>
      </c>
      <c r="Q491" s="11" t="s">
        <v>31</v>
      </c>
      <c r="R491" s="33" t="s">
        <v>31</v>
      </c>
      <c r="S491" s="37">
        <f t="shared" si="80"/>
        <v>0.95424250943932487</v>
      </c>
      <c r="T491" s="37">
        <f t="shared" si="81"/>
        <v>2.8239087409443187</v>
      </c>
      <c r="U491" s="42">
        <f t="shared" si="82"/>
        <v>2.7671558660821804</v>
      </c>
      <c r="V491" s="41">
        <f t="shared" si="83"/>
        <v>2.3192039645925679</v>
      </c>
      <c r="W491" s="43" t="e">
        <f t="shared" si="84"/>
        <v>#VALUE!</v>
      </c>
      <c r="X491" s="43" t="e">
        <f t="shared" si="85"/>
        <v>#VALUE!</v>
      </c>
    </row>
    <row r="492" spans="1:24" ht="14.25" customHeight="1">
      <c r="A492" s="54"/>
      <c r="B492" s="12">
        <v>3</v>
      </c>
      <c r="C492" s="12">
        <f t="shared" si="88"/>
        <v>1.5</v>
      </c>
      <c r="D492" s="16" t="s">
        <v>42</v>
      </c>
      <c r="E492" s="16" t="s">
        <v>43</v>
      </c>
      <c r="F492" s="17" t="s">
        <v>34</v>
      </c>
      <c r="G492" s="17" t="s">
        <v>52</v>
      </c>
      <c r="H492" s="17" t="s">
        <v>29</v>
      </c>
      <c r="I492" s="17" t="s">
        <v>51</v>
      </c>
      <c r="J492" s="12">
        <v>0.9</v>
      </c>
      <c r="K492" s="12">
        <v>1.3</v>
      </c>
      <c r="L492" s="12">
        <f t="shared" si="86"/>
        <v>44.44444444444445</v>
      </c>
      <c r="M492" s="9">
        <v>58.5</v>
      </c>
      <c r="N492" s="9">
        <v>68.2</v>
      </c>
      <c r="O492" s="10">
        <f t="shared" si="79"/>
        <v>16.581196581196586</v>
      </c>
      <c r="P492" s="11" t="s">
        <v>31</v>
      </c>
      <c r="Q492" s="11" t="s">
        <v>31</v>
      </c>
      <c r="R492" s="33" t="s">
        <v>31</v>
      </c>
      <c r="S492" s="37">
        <f t="shared" si="80"/>
        <v>0.95424250943932487</v>
      </c>
      <c r="T492" s="37">
        <f t="shared" si="81"/>
        <v>2.6478174818886377</v>
      </c>
      <c r="U492" s="42">
        <f t="shared" si="82"/>
        <v>2.7671558660821804</v>
      </c>
      <c r="V492" s="41">
        <f t="shared" si="83"/>
        <v>2.2196158681840648</v>
      </c>
      <c r="W492" s="43" t="e">
        <f t="shared" si="84"/>
        <v>#VALUE!</v>
      </c>
      <c r="X492" s="43" t="e">
        <f t="shared" si="85"/>
        <v>#VALUE!</v>
      </c>
    </row>
    <row r="493" spans="1:24" ht="14.25" customHeight="1">
      <c r="A493" s="54"/>
      <c r="B493" s="12">
        <v>5</v>
      </c>
      <c r="C493" s="12">
        <f t="shared" si="88"/>
        <v>2.5</v>
      </c>
      <c r="D493" s="16" t="s">
        <v>42</v>
      </c>
      <c r="E493" s="16" t="s">
        <v>43</v>
      </c>
      <c r="F493" s="17" t="s">
        <v>34</v>
      </c>
      <c r="G493" s="17" t="s">
        <v>52</v>
      </c>
      <c r="H493" s="17" t="s">
        <v>29</v>
      </c>
      <c r="I493" s="17" t="s">
        <v>51</v>
      </c>
      <c r="J493" s="12">
        <v>0.9</v>
      </c>
      <c r="K493" s="12">
        <v>1.4</v>
      </c>
      <c r="L493" s="12">
        <f t="shared" si="86"/>
        <v>55.55555555555555</v>
      </c>
      <c r="M493" s="9">
        <v>58.5</v>
      </c>
      <c r="N493" s="9">
        <v>64.5</v>
      </c>
      <c r="O493" s="10">
        <f t="shared" si="79"/>
        <v>10.256410256410255</v>
      </c>
      <c r="P493" s="11" t="s">
        <v>31</v>
      </c>
      <c r="Q493" s="11" t="s">
        <v>31</v>
      </c>
      <c r="R493" s="33" t="s">
        <v>31</v>
      </c>
      <c r="S493" s="37">
        <f t="shared" si="80"/>
        <v>0.95424250943932487</v>
      </c>
      <c r="T493" s="37">
        <f t="shared" si="81"/>
        <v>2.744727494896694</v>
      </c>
      <c r="U493" s="42">
        <f t="shared" si="82"/>
        <v>2.7671558660821804</v>
      </c>
      <c r="V493" s="41">
        <f t="shared" si="83"/>
        <v>2.010995384301463</v>
      </c>
      <c r="W493" s="43" t="e">
        <f t="shared" si="84"/>
        <v>#VALUE!</v>
      </c>
      <c r="X493" s="43" t="e">
        <f t="shared" si="85"/>
        <v>#VALUE!</v>
      </c>
    </row>
    <row r="494" spans="1:24" ht="14.25" customHeight="1">
      <c r="A494" s="54"/>
      <c r="B494" s="12">
        <v>1</v>
      </c>
      <c r="C494" s="12">
        <f t="shared" si="88"/>
        <v>0.5</v>
      </c>
      <c r="D494" s="16" t="s">
        <v>42</v>
      </c>
      <c r="E494" s="16" t="s">
        <v>43</v>
      </c>
      <c r="F494" s="17" t="s">
        <v>34</v>
      </c>
      <c r="G494" s="17" t="s">
        <v>52</v>
      </c>
      <c r="H494" s="17" t="s">
        <v>29</v>
      </c>
      <c r="I494" s="17" t="s">
        <v>51</v>
      </c>
      <c r="J494" s="12">
        <v>0.9</v>
      </c>
      <c r="K494" s="12">
        <v>1.6</v>
      </c>
      <c r="L494" s="12">
        <f t="shared" si="86"/>
        <v>77.777777777777786</v>
      </c>
      <c r="M494" s="9">
        <v>58.5</v>
      </c>
      <c r="N494" s="9">
        <v>71.099999999999994</v>
      </c>
      <c r="O494" s="10">
        <f t="shared" si="79"/>
        <v>21.538461538461529</v>
      </c>
      <c r="P494" s="11" t="s">
        <v>31</v>
      </c>
      <c r="Q494" s="11" t="s">
        <v>31</v>
      </c>
      <c r="R494" s="33" t="s">
        <v>31</v>
      </c>
      <c r="S494" s="37">
        <f t="shared" si="80"/>
        <v>0.95424250943932487</v>
      </c>
      <c r="T494" s="37">
        <f t="shared" si="81"/>
        <v>2.8908555305749322</v>
      </c>
      <c r="U494" s="42">
        <f t="shared" si="82"/>
        <v>2.7671558660821804</v>
      </c>
      <c r="V494" s="41">
        <f t="shared" si="83"/>
        <v>2.3332146790353825</v>
      </c>
      <c r="W494" s="43" t="e">
        <f t="shared" si="84"/>
        <v>#VALUE!</v>
      </c>
      <c r="X494" s="43" t="e">
        <f t="shared" si="85"/>
        <v>#VALUE!</v>
      </c>
    </row>
    <row r="495" spans="1:24" ht="14.25" customHeight="1">
      <c r="A495" s="54"/>
      <c r="B495" s="12">
        <v>3</v>
      </c>
      <c r="C495" s="12">
        <f t="shared" si="88"/>
        <v>1.5</v>
      </c>
      <c r="D495" s="16" t="s">
        <v>42</v>
      </c>
      <c r="E495" s="16" t="s">
        <v>43</v>
      </c>
      <c r="F495" s="17" t="s">
        <v>34</v>
      </c>
      <c r="G495" s="17" t="s">
        <v>52</v>
      </c>
      <c r="H495" s="17" t="s">
        <v>29</v>
      </c>
      <c r="I495" s="17" t="s">
        <v>51</v>
      </c>
      <c r="J495" s="12">
        <v>0.9</v>
      </c>
      <c r="K495" s="12">
        <v>1.4</v>
      </c>
      <c r="L495" s="12">
        <f t="shared" si="86"/>
        <v>55.55555555555555</v>
      </c>
      <c r="M495" s="9">
        <v>58.5</v>
      </c>
      <c r="N495" s="9">
        <v>66.3</v>
      </c>
      <c r="O495" s="10">
        <f t="shared" si="79"/>
        <v>13.333333333333327</v>
      </c>
      <c r="P495" s="11" t="s">
        <v>31</v>
      </c>
      <c r="Q495" s="11" t="s">
        <v>31</v>
      </c>
      <c r="R495" s="33" t="s">
        <v>31</v>
      </c>
      <c r="S495" s="37">
        <f t="shared" si="80"/>
        <v>0.95424250943932487</v>
      </c>
      <c r="T495" s="37">
        <f t="shared" si="81"/>
        <v>2.744727494896694</v>
      </c>
      <c r="U495" s="42">
        <f t="shared" si="82"/>
        <v>2.7671558660821804</v>
      </c>
      <c r="V495" s="41">
        <f t="shared" si="83"/>
        <v>2.1249387366082999</v>
      </c>
      <c r="W495" s="43" t="e">
        <f t="shared" si="84"/>
        <v>#VALUE!</v>
      </c>
      <c r="X495" s="43" t="e">
        <f t="shared" si="85"/>
        <v>#VALUE!</v>
      </c>
    </row>
    <row r="496" spans="1:24" ht="14.25" customHeight="1">
      <c r="A496" s="54"/>
      <c r="B496" s="12">
        <v>5</v>
      </c>
      <c r="C496" s="12">
        <f t="shared" si="88"/>
        <v>2.5</v>
      </c>
      <c r="D496" s="16" t="s">
        <v>42</v>
      </c>
      <c r="E496" s="16" t="s">
        <v>43</v>
      </c>
      <c r="F496" s="17" t="s">
        <v>34</v>
      </c>
      <c r="G496" s="17" t="s">
        <v>52</v>
      </c>
      <c r="H496" s="17" t="s">
        <v>29</v>
      </c>
      <c r="I496" s="17" t="s">
        <v>51</v>
      </c>
      <c r="J496" s="12">
        <v>0.9</v>
      </c>
      <c r="K496" s="12">
        <v>1.4</v>
      </c>
      <c r="L496" s="12">
        <f t="shared" si="86"/>
        <v>55.55555555555555</v>
      </c>
      <c r="M496" s="9">
        <v>58.5</v>
      </c>
      <c r="N496" s="9">
        <v>61.9</v>
      </c>
      <c r="O496" s="10">
        <f t="shared" si="79"/>
        <v>5.8119658119658091</v>
      </c>
      <c r="P496" s="11" t="s">
        <v>31</v>
      </c>
      <c r="Q496" s="11" t="s">
        <v>31</v>
      </c>
      <c r="R496" s="33" t="s">
        <v>31</v>
      </c>
      <c r="S496" s="37">
        <f t="shared" si="80"/>
        <v>0.95424250943932487</v>
      </c>
      <c r="T496" s="37">
        <f t="shared" si="81"/>
        <v>2.744727494896694</v>
      </c>
      <c r="U496" s="42">
        <f t="shared" si="82"/>
        <v>2.7671558660821804</v>
      </c>
      <c r="V496" s="41">
        <f t="shared" si="83"/>
        <v>1.7643230509600745</v>
      </c>
      <c r="W496" s="43" t="e">
        <f t="shared" si="84"/>
        <v>#VALUE!</v>
      </c>
      <c r="X496" s="43" t="e">
        <f t="shared" si="85"/>
        <v>#VALUE!</v>
      </c>
    </row>
    <row r="497" spans="1:24" ht="14.25" customHeight="1">
      <c r="A497" s="54"/>
      <c r="B497" s="12">
        <v>1</v>
      </c>
      <c r="C497" s="12">
        <f t="shared" si="88"/>
        <v>0.5</v>
      </c>
      <c r="D497" s="16" t="s">
        <v>42</v>
      </c>
      <c r="E497" s="16" t="s">
        <v>43</v>
      </c>
      <c r="F497" s="17" t="s">
        <v>34</v>
      </c>
      <c r="G497" s="17" t="s">
        <v>193</v>
      </c>
      <c r="H497" s="17" t="s">
        <v>29</v>
      </c>
      <c r="I497" s="17" t="s">
        <v>51</v>
      </c>
      <c r="J497" s="12">
        <v>0.7</v>
      </c>
      <c r="K497" s="12">
        <v>1.3</v>
      </c>
      <c r="L497" s="12">
        <f t="shared" si="86"/>
        <v>85.714285714285737</v>
      </c>
      <c r="M497" s="9">
        <v>51.4</v>
      </c>
      <c r="N497" s="9">
        <v>52.6</v>
      </c>
      <c r="O497" s="10">
        <f t="shared" si="79"/>
        <v>2.334630350194558</v>
      </c>
      <c r="P497" s="11" t="s">
        <v>31</v>
      </c>
      <c r="Q497" s="11" t="s">
        <v>31</v>
      </c>
      <c r="R497" s="33" t="s">
        <v>31</v>
      </c>
      <c r="S497" s="37">
        <f t="shared" si="80"/>
        <v>0.84509804001425681</v>
      </c>
      <c r="T497" s="37">
        <f t="shared" si="81"/>
        <v>2.9330532103693869</v>
      </c>
      <c r="U497" s="42">
        <f t="shared" si="82"/>
        <v>2.7109631189952759</v>
      </c>
      <c r="V497" s="41">
        <f t="shared" si="83"/>
        <v>1.3682181270523501</v>
      </c>
      <c r="W497" s="43" t="e">
        <f t="shared" si="84"/>
        <v>#VALUE!</v>
      </c>
      <c r="X497" s="43" t="e">
        <f t="shared" si="85"/>
        <v>#VALUE!</v>
      </c>
    </row>
    <row r="498" spans="1:24" ht="14.25" customHeight="1">
      <c r="A498" s="54"/>
      <c r="B498" s="12">
        <v>3</v>
      </c>
      <c r="C498" s="12">
        <f t="shared" si="88"/>
        <v>1.5</v>
      </c>
      <c r="D498" s="16" t="s">
        <v>42</v>
      </c>
      <c r="E498" s="16" t="s">
        <v>43</v>
      </c>
      <c r="F498" s="17" t="s">
        <v>34</v>
      </c>
      <c r="G498" s="17" t="s">
        <v>193</v>
      </c>
      <c r="H498" s="17" t="s">
        <v>29</v>
      </c>
      <c r="I498" s="17" t="s">
        <v>51</v>
      </c>
      <c r="J498" s="12">
        <v>0.7</v>
      </c>
      <c r="K498" s="12">
        <v>1.3</v>
      </c>
      <c r="L498" s="12">
        <f t="shared" si="86"/>
        <v>85.714285714285737</v>
      </c>
      <c r="M498" s="9">
        <v>51.4</v>
      </c>
      <c r="N498" s="9">
        <v>52.7</v>
      </c>
      <c r="O498" s="10">
        <f t="shared" si="79"/>
        <v>2.5291828793774402</v>
      </c>
      <c r="P498" s="11" t="s">
        <v>31</v>
      </c>
      <c r="Q498" s="11" t="s">
        <v>31</v>
      </c>
      <c r="R498" s="33" t="s">
        <v>31</v>
      </c>
      <c r="S498" s="37">
        <f t="shared" si="80"/>
        <v>0.84509804001425681</v>
      </c>
      <c r="T498" s="37">
        <f t="shared" si="81"/>
        <v>2.9330532103693869</v>
      </c>
      <c r="U498" s="42">
        <f t="shared" si="82"/>
        <v>2.7109631189952759</v>
      </c>
      <c r="V498" s="41">
        <f t="shared" si="83"/>
        <v>1.4029802333115624</v>
      </c>
      <c r="W498" s="43" t="e">
        <f t="shared" si="84"/>
        <v>#VALUE!</v>
      </c>
      <c r="X498" s="43" t="e">
        <f t="shared" si="85"/>
        <v>#VALUE!</v>
      </c>
    </row>
    <row r="499" spans="1:24" ht="14.25" customHeight="1">
      <c r="A499" s="54"/>
      <c r="B499" s="12">
        <v>5</v>
      </c>
      <c r="C499" s="12">
        <f t="shared" si="88"/>
        <v>2.5</v>
      </c>
      <c r="D499" s="16" t="s">
        <v>42</v>
      </c>
      <c r="E499" s="16" t="s">
        <v>43</v>
      </c>
      <c r="F499" s="17" t="s">
        <v>34</v>
      </c>
      <c r="G499" s="17" t="s">
        <v>193</v>
      </c>
      <c r="H499" s="17" t="s">
        <v>29</v>
      </c>
      <c r="I499" s="17" t="s">
        <v>51</v>
      </c>
      <c r="J499" s="12">
        <v>0.7</v>
      </c>
      <c r="K499" s="12">
        <v>1.3</v>
      </c>
      <c r="L499" s="12">
        <f t="shared" si="86"/>
        <v>85.714285714285737</v>
      </c>
      <c r="M499" s="9">
        <v>51.4</v>
      </c>
      <c r="N499" s="9">
        <v>53</v>
      </c>
      <c r="O499" s="10">
        <f t="shared" si="79"/>
        <v>3.1128404669260727</v>
      </c>
      <c r="P499" s="11" t="s">
        <v>31</v>
      </c>
      <c r="Q499" s="11" t="s">
        <v>31</v>
      </c>
      <c r="R499" s="33" t="s">
        <v>31</v>
      </c>
      <c r="S499" s="37">
        <f t="shared" si="80"/>
        <v>0.84509804001425681</v>
      </c>
      <c r="T499" s="37">
        <f t="shared" si="81"/>
        <v>2.9330532103693869</v>
      </c>
      <c r="U499" s="42">
        <f t="shared" si="82"/>
        <v>2.7109631189952759</v>
      </c>
      <c r="V499" s="41">
        <f t="shared" si="83"/>
        <v>1.4931568636606494</v>
      </c>
      <c r="W499" s="43" t="e">
        <f t="shared" si="84"/>
        <v>#VALUE!</v>
      </c>
      <c r="X499" s="43" t="e">
        <f t="shared" si="85"/>
        <v>#VALUE!</v>
      </c>
    </row>
    <row r="500" spans="1:24" ht="14.25" customHeight="1">
      <c r="A500" s="54"/>
      <c r="B500" s="12">
        <v>1</v>
      </c>
      <c r="C500" s="12">
        <f t="shared" si="88"/>
        <v>0.5</v>
      </c>
      <c r="D500" s="16" t="s">
        <v>42</v>
      </c>
      <c r="E500" s="16" t="s">
        <v>43</v>
      </c>
      <c r="F500" s="17" t="s">
        <v>34</v>
      </c>
      <c r="G500" s="17" t="s">
        <v>52</v>
      </c>
      <c r="H500" s="17" t="s">
        <v>29</v>
      </c>
      <c r="I500" s="17" t="s">
        <v>51</v>
      </c>
      <c r="J500" s="12">
        <v>0.7</v>
      </c>
      <c r="K500" s="12">
        <v>1.4</v>
      </c>
      <c r="L500" s="12">
        <f t="shared" si="86"/>
        <v>100</v>
      </c>
      <c r="M500" s="9">
        <v>51.4</v>
      </c>
      <c r="N500" s="9">
        <v>55.8</v>
      </c>
      <c r="O500" s="10">
        <f t="shared" si="79"/>
        <v>8.5603112840466906</v>
      </c>
      <c r="P500" s="11" t="s">
        <v>31</v>
      </c>
      <c r="Q500" s="11" t="s">
        <v>31</v>
      </c>
      <c r="R500" s="33" t="s">
        <v>31</v>
      </c>
      <c r="S500" s="37">
        <f t="shared" si="80"/>
        <v>0.84509804001425681</v>
      </c>
      <c r="T500" s="37">
        <f t="shared" si="81"/>
        <v>3</v>
      </c>
      <c r="U500" s="42">
        <f t="shared" si="82"/>
        <v>2.7109631189952759</v>
      </c>
      <c r="V500" s="41">
        <f t="shared" si="83"/>
        <v>1.9324895574909116</v>
      </c>
      <c r="W500" s="43" t="e">
        <f t="shared" si="84"/>
        <v>#VALUE!</v>
      </c>
      <c r="X500" s="43" t="e">
        <f t="shared" si="85"/>
        <v>#VALUE!</v>
      </c>
    </row>
    <row r="501" spans="1:24" ht="14.25" customHeight="1">
      <c r="A501" s="54"/>
      <c r="B501" s="12">
        <v>3</v>
      </c>
      <c r="C501" s="12">
        <f t="shared" si="88"/>
        <v>1.5</v>
      </c>
      <c r="D501" s="16" t="s">
        <v>42</v>
      </c>
      <c r="E501" s="16" t="s">
        <v>43</v>
      </c>
      <c r="F501" s="17" t="s">
        <v>34</v>
      </c>
      <c r="G501" s="17" t="s">
        <v>52</v>
      </c>
      <c r="H501" s="17" t="s">
        <v>29</v>
      </c>
      <c r="I501" s="17" t="s">
        <v>51</v>
      </c>
      <c r="J501" s="12">
        <v>0.7</v>
      </c>
      <c r="K501" s="12">
        <v>1.3</v>
      </c>
      <c r="L501" s="12">
        <f t="shared" si="86"/>
        <v>85.714285714285737</v>
      </c>
      <c r="M501" s="9">
        <v>51.4</v>
      </c>
      <c r="N501" s="9">
        <v>52.5</v>
      </c>
      <c r="O501" s="10">
        <f t="shared" si="79"/>
        <v>2.1400778210116758</v>
      </c>
      <c r="P501" s="11" t="s">
        <v>31</v>
      </c>
      <c r="Q501" s="11" t="s">
        <v>31</v>
      </c>
      <c r="R501" s="33" t="s">
        <v>31</v>
      </c>
      <c r="S501" s="37">
        <f t="shared" si="80"/>
        <v>0.84509804001425681</v>
      </c>
      <c r="T501" s="37">
        <f t="shared" si="81"/>
        <v>2.9330532103693869</v>
      </c>
      <c r="U501" s="42">
        <f t="shared" si="82"/>
        <v>2.7109631189952759</v>
      </c>
      <c r="V501" s="41">
        <f t="shared" si="83"/>
        <v>1.3304295661629499</v>
      </c>
      <c r="W501" s="43" t="e">
        <f t="shared" si="84"/>
        <v>#VALUE!</v>
      </c>
      <c r="X501" s="43" t="e">
        <f t="shared" si="85"/>
        <v>#VALUE!</v>
      </c>
    </row>
    <row r="502" spans="1:24" ht="14.25" customHeight="1">
      <c r="A502" s="55"/>
      <c r="B502" s="12">
        <v>5</v>
      </c>
      <c r="C502" s="12">
        <f t="shared" si="88"/>
        <v>2.5</v>
      </c>
      <c r="D502" s="16" t="s">
        <v>42</v>
      </c>
      <c r="E502" s="16" t="s">
        <v>43</v>
      </c>
      <c r="F502" s="17" t="s">
        <v>34</v>
      </c>
      <c r="G502" s="17" t="s">
        <v>52</v>
      </c>
      <c r="H502" s="17" t="s">
        <v>29</v>
      </c>
      <c r="I502" s="17" t="s">
        <v>51</v>
      </c>
      <c r="J502" s="12">
        <v>0.7</v>
      </c>
      <c r="K502" s="12">
        <v>1.4</v>
      </c>
      <c r="L502" s="12">
        <f t="shared" si="86"/>
        <v>100</v>
      </c>
      <c r="M502" s="9">
        <v>51.4</v>
      </c>
      <c r="N502" s="9">
        <v>53.1</v>
      </c>
      <c r="O502" s="10">
        <f t="shared" si="79"/>
        <v>3.307392996108955</v>
      </c>
      <c r="P502" s="11" t="s">
        <v>31</v>
      </c>
      <c r="Q502" s="11" t="s">
        <v>31</v>
      </c>
      <c r="R502" s="33" t="s">
        <v>31</v>
      </c>
      <c r="S502" s="37">
        <f t="shared" si="80"/>
        <v>0.84509804001425681</v>
      </c>
      <c r="T502" s="37">
        <f t="shared" si="81"/>
        <v>3</v>
      </c>
      <c r="U502" s="42">
        <f t="shared" si="82"/>
        <v>2.7109631189952759</v>
      </c>
      <c r="V502" s="41">
        <f t="shared" si="83"/>
        <v>1.5194858023829989</v>
      </c>
      <c r="W502" s="43" t="e">
        <f t="shared" si="84"/>
        <v>#VALUE!</v>
      </c>
      <c r="X502" s="43" t="e">
        <f t="shared" si="85"/>
        <v>#VALUE!</v>
      </c>
    </row>
    <row r="503" spans="1:24" ht="14.25" customHeight="1">
      <c r="A503" s="55"/>
      <c r="B503" s="12">
        <v>1</v>
      </c>
      <c r="C503" s="12">
        <f t="shared" si="88"/>
        <v>0.5</v>
      </c>
      <c r="D503" s="16" t="s">
        <v>42</v>
      </c>
      <c r="E503" s="16" t="s">
        <v>43</v>
      </c>
      <c r="F503" s="17" t="s">
        <v>34</v>
      </c>
      <c r="G503" s="17" t="s">
        <v>52</v>
      </c>
      <c r="H503" s="17" t="s">
        <v>29</v>
      </c>
      <c r="I503" s="17" t="s">
        <v>51</v>
      </c>
      <c r="J503" s="12">
        <v>0.7</v>
      </c>
      <c r="K503" s="12">
        <v>1.4</v>
      </c>
      <c r="L503" s="12">
        <f t="shared" si="86"/>
        <v>100</v>
      </c>
      <c r="M503" s="9">
        <v>51.4</v>
      </c>
      <c r="N503" s="9">
        <v>59.8</v>
      </c>
      <c r="O503" s="10">
        <f t="shared" si="79"/>
        <v>16.342412451361866</v>
      </c>
      <c r="P503" s="11" t="s">
        <v>31</v>
      </c>
      <c r="Q503" s="11" t="s">
        <v>31</v>
      </c>
      <c r="R503" s="33" t="s">
        <v>31</v>
      </c>
      <c r="S503" s="37">
        <f t="shared" si="80"/>
        <v>0.84509804001425681</v>
      </c>
      <c r="T503" s="37">
        <f t="shared" si="81"/>
        <v>3</v>
      </c>
      <c r="U503" s="42">
        <f t="shared" si="82"/>
        <v>2.7109631189952759</v>
      </c>
      <c r="V503" s="41">
        <f t="shared" si="83"/>
        <v>2.2133161670666057</v>
      </c>
      <c r="W503" s="43" t="e">
        <f t="shared" si="84"/>
        <v>#VALUE!</v>
      </c>
      <c r="X503" s="43" t="e">
        <f t="shared" si="85"/>
        <v>#VALUE!</v>
      </c>
    </row>
    <row r="504" spans="1:24" ht="14.25" customHeight="1">
      <c r="A504" s="55"/>
      <c r="B504" s="12">
        <v>3</v>
      </c>
      <c r="C504" s="12">
        <f t="shared" si="88"/>
        <v>1.5</v>
      </c>
      <c r="D504" s="16" t="s">
        <v>42</v>
      </c>
      <c r="E504" s="16" t="s">
        <v>43</v>
      </c>
      <c r="F504" s="17" t="s">
        <v>34</v>
      </c>
      <c r="G504" s="17" t="s">
        <v>52</v>
      </c>
      <c r="H504" s="17" t="s">
        <v>29</v>
      </c>
      <c r="I504" s="17" t="s">
        <v>51</v>
      </c>
      <c r="J504" s="12">
        <v>0.7</v>
      </c>
      <c r="K504" s="12">
        <v>1.3</v>
      </c>
      <c r="L504" s="12">
        <f t="shared" si="86"/>
        <v>85.714285714285737</v>
      </c>
      <c r="M504" s="9">
        <v>51.4</v>
      </c>
      <c r="N504" s="9">
        <v>56.5</v>
      </c>
      <c r="O504" s="10">
        <f t="shared" si="79"/>
        <v>9.9221789883268521</v>
      </c>
      <c r="P504" s="11" t="s">
        <v>31</v>
      </c>
      <c r="Q504" s="11" t="s">
        <v>31</v>
      </c>
      <c r="R504" s="33" t="s">
        <v>31</v>
      </c>
      <c r="S504" s="37">
        <f t="shared" si="80"/>
        <v>0.84509804001425681</v>
      </c>
      <c r="T504" s="37">
        <f t="shared" si="81"/>
        <v>2.9330532103693869</v>
      </c>
      <c r="U504" s="42">
        <f t="shared" si="82"/>
        <v>2.7109631189952759</v>
      </c>
      <c r="V504" s="41">
        <f t="shared" si="83"/>
        <v>1.9966070571026608</v>
      </c>
      <c r="W504" s="43" t="e">
        <f t="shared" si="84"/>
        <v>#VALUE!</v>
      </c>
      <c r="X504" s="43" t="e">
        <f t="shared" si="85"/>
        <v>#VALUE!</v>
      </c>
    </row>
    <row r="505" spans="1:24" ht="14.25" customHeight="1">
      <c r="A505" s="56"/>
      <c r="B505" s="12">
        <v>5</v>
      </c>
      <c r="C505" s="12">
        <f t="shared" si="88"/>
        <v>2.5</v>
      </c>
      <c r="D505" s="16" t="s">
        <v>42</v>
      </c>
      <c r="E505" s="16" t="s">
        <v>43</v>
      </c>
      <c r="F505" s="17" t="s">
        <v>34</v>
      </c>
      <c r="G505" s="17" t="s">
        <v>52</v>
      </c>
      <c r="H505" s="17" t="s">
        <v>29</v>
      </c>
      <c r="I505" s="17" t="s">
        <v>51</v>
      </c>
      <c r="J505" s="12">
        <v>0.7</v>
      </c>
      <c r="K505" s="12">
        <v>1.4</v>
      </c>
      <c r="L505" s="12">
        <f t="shared" si="86"/>
        <v>100</v>
      </c>
      <c r="M505" s="9">
        <v>51.4</v>
      </c>
      <c r="N505" s="9">
        <v>54.5</v>
      </c>
      <c r="O505" s="10">
        <f t="shared" si="79"/>
        <v>6.0311284046692633</v>
      </c>
      <c r="P505" s="11" t="s">
        <v>31</v>
      </c>
      <c r="Q505" s="11" t="s">
        <v>31</v>
      </c>
      <c r="R505" s="33" t="s">
        <v>31</v>
      </c>
      <c r="S505" s="37">
        <f t="shared" si="80"/>
        <v>0.84509804001425681</v>
      </c>
      <c r="T505" s="37">
        <f t="shared" si="81"/>
        <v>3</v>
      </c>
      <c r="U505" s="42">
        <f t="shared" si="82"/>
        <v>2.7109631189952759</v>
      </c>
      <c r="V505" s="41">
        <f t="shared" si="83"/>
        <v>1.7803985748389972</v>
      </c>
      <c r="W505" s="43" t="e">
        <f t="shared" si="84"/>
        <v>#VALUE!</v>
      </c>
      <c r="X505" s="43" t="e">
        <f t="shared" si="85"/>
        <v>#VALUE!</v>
      </c>
    </row>
    <row r="506" spans="1:24" ht="14.25" customHeight="1">
      <c r="A506" s="45" t="s">
        <v>203</v>
      </c>
      <c r="B506" s="12">
        <v>1</v>
      </c>
      <c r="C506" s="12">
        <f t="shared" si="88"/>
        <v>0.5</v>
      </c>
      <c r="D506" s="16" t="s">
        <v>42</v>
      </c>
      <c r="E506" s="16" t="s">
        <v>43</v>
      </c>
      <c r="F506" s="17" t="s">
        <v>34</v>
      </c>
      <c r="G506" s="17" t="s">
        <v>204</v>
      </c>
      <c r="H506" s="17" t="s">
        <v>29</v>
      </c>
      <c r="I506" s="17" t="s">
        <v>36</v>
      </c>
      <c r="J506" s="12">
        <v>2.12</v>
      </c>
      <c r="K506" s="12">
        <v>2.4740000000000002</v>
      </c>
      <c r="L506" s="12">
        <f t="shared" si="86"/>
        <v>16.698113207547173</v>
      </c>
      <c r="M506" s="9">
        <v>52.4</v>
      </c>
      <c r="N506" s="9">
        <v>58.02</v>
      </c>
      <c r="O506" s="10">
        <f t="shared" si="79"/>
        <v>10.725190839694665</v>
      </c>
      <c r="P506" s="11" t="s">
        <v>31</v>
      </c>
      <c r="Q506" s="11" t="s">
        <v>31</v>
      </c>
      <c r="R506" s="33" t="s">
        <v>31</v>
      </c>
      <c r="S506" s="37">
        <f t="shared" si="80"/>
        <v>1.3263358609287514</v>
      </c>
      <c r="T506" s="37">
        <f t="shared" si="81"/>
        <v>2.2226674010970364</v>
      </c>
      <c r="U506" s="42">
        <f t="shared" si="82"/>
        <v>2.7193312869837265</v>
      </c>
      <c r="V506" s="41">
        <f t="shared" si="83"/>
        <v>2.0304050285853346</v>
      </c>
      <c r="W506" s="43" t="e">
        <f t="shared" si="84"/>
        <v>#VALUE!</v>
      </c>
      <c r="X506" s="43" t="e">
        <f t="shared" si="85"/>
        <v>#VALUE!</v>
      </c>
    </row>
    <row r="507" spans="1:24" ht="14.25" customHeight="1">
      <c r="A507" s="46"/>
      <c r="B507" s="12">
        <v>3</v>
      </c>
      <c r="C507" s="12">
        <f t="shared" si="88"/>
        <v>1.5</v>
      </c>
      <c r="D507" s="16" t="s">
        <v>42</v>
      </c>
      <c r="E507" s="16" t="s">
        <v>43</v>
      </c>
      <c r="F507" s="17" t="s">
        <v>34</v>
      </c>
      <c r="G507" s="17" t="s">
        <v>204</v>
      </c>
      <c r="H507" s="17" t="s">
        <v>29</v>
      </c>
      <c r="I507" s="17" t="s">
        <v>36</v>
      </c>
      <c r="J507" s="12">
        <v>2.12</v>
      </c>
      <c r="K507" s="12">
        <v>2.625</v>
      </c>
      <c r="L507" s="12">
        <f t="shared" si="86"/>
        <v>23.820754716981128</v>
      </c>
      <c r="M507" s="9">
        <v>52.4</v>
      </c>
      <c r="N507" s="9">
        <v>58.49</v>
      </c>
      <c r="O507" s="10">
        <f t="shared" si="79"/>
        <v>11.62213740458016</v>
      </c>
      <c r="P507" s="11" t="s">
        <v>31</v>
      </c>
      <c r="Q507" s="11" t="s">
        <v>31</v>
      </c>
      <c r="R507" s="33" t="s">
        <v>31</v>
      </c>
      <c r="S507" s="37">
        <f t="shared" si="80"/>
        <v>1.3263358609287514</v>
      </c>
      <c r="T507" s="37">
        <f t="shared" si="81"/>
        <v>2.3769555171899097</v>
      </c>
      <c r="U507" s="42">
        <f t="shared" si="82"/>
        <v>2.7193312869837265</v>
      </c>
      <c r="V507" s="41">
        <f t="shared" si="83"/>
        <v>2.0652860056491491</v>
      </c>
      <c r="W507" s="43" t="e">
        <f t="shared" si="84"/>
        <v>#VALUE!</v>
      </c>
      <c r="X507" s="43" t="e">
        <f t="shared" si="85"/>
        <v>#VALUE!</v>
      </c>
    </row>
    <row r="508" spans="1:24" ht="14.25" customHeight="1">
      <c r="A508" s="46"/>
      <c r="B508" s="12">
        <v>4</v>
      </c>
      <c r="C508" s="12">
        <f t="shared" si="88"/>
        <v>2</v>
      </c>
      <c r="D508" s="16" t="s">
        <v>42</v>
      </c>
      <c r="E508" s="16" t="s">
        <v>43</v>
      </c>
      <c r="F508" s="17" t="s">
        <v>34</v>
      </c>
      <c r="G508" s="17" t="s">
        <v>204</v>
      </c>
      <c r="H508" s="17" t="s">
        <v>29</v>
      </c>
      <c r="I508" s="17" t="s">
        <v>36</v>
      </c>
      <c r="J508" s="12">
        <v>2.12</v>
      </c>
      <c r="K508" s="12">
        <v>2.7719999999999998</v>
      </c>
      <c r="L508" s="12">
        <f t="shared" si="86"/>
        <v>30.754716981132056</v>
      </c>
      <c r="M508" s="9">
        <v>52.4</v>
      </c>
      <c r="N508" s="9">
        <v>60.72</v>
      </c>
      <c r="O508" s="10">
        <f t="shared" si="79"/>
        <v>15.877862595419847</v>
      </c>
      <c r="P508" s="11" t="s">
        <v>31</v>
      </c>
      <c r="Q508" s="11" t="s">
        <v>31</v>
      </c>
      <c r="R508" s="33" t="s">
        <v>31</v>
      </c>
      <c r="S508" s="37">
        <f t="shared" si="80"/>
        <v>1.3263358609287514</v>
      </c>
      <c r="T508" s="37">
        <f t="shared" si="81"/>
        <v>2.4879117348031685</v>
      </c>
      <c r="U508" s="42">
        <f t="shared" si="82"/>
        <v>2.7193312869837265</v>
      </c>
      <c r="V508" s="41">
        <f t="shared" si="83"/>
        <v>2.2007920393069971</v>
      </c>
      <c r="W508" s="43" t="e">
        <f t="shared" si="84"/>
        <v>#VALUE!</v>
      </c>
      <c r="X508" s="43" t="e">
        <f t="shared" si="85"/>
        <v>#VALUE!</v>
      </c>
    </row>
    <row r="509" spans="1:24" ht="14.25" customHeight="1">
      <c r="A509" s="46"/>
      <c r="B509" s="12">
        <v>5</v>
      </c>
      <c r="C509" s="12">
        <f t="shared" si="88"/>
        <v>2.5</v>
      </c>
      <c r="D509" s="16" t="s">
        <v>42</v>
      </c>
      <c r="E509" s="16" t="s">
        <v>43</v>
      </c>
      <c r="F509" s="17" t="s">
        <v>34</v>
      </c>
      <c r="G509" s="17" t="s">
        <v>204</v>
      </c>
      <c r="H509" s="17" t="s">
        <v>29</v>
      </c>
      <c r="I509" s="17" t="s">
        <v>36</v>
      </c>
      <c r="J509" s="12">
        <v>2.12</v>
      </c>
      <c r="K509" s="12">
        <v>2.8410000000000002</v>
      </c>
      <c r="L509" s="12">
        <f t="shared" si="86"/>
        <v>34.009433962264154</v>
      </c>
      <c r="M509" s="9">
        <v>52.4</v>
      </c>
      <c r="N509" s="9">
        <v>65.22</v>
      </c>
      <c r="O509" s="10">
        <f t="shared" si="79"/>
        <v>24.465648854961835</v>
      </c>
      <c r="P509" s="11" t="s">
        <v>31</v>
      </c>
      <c r="Q509" s="11" t="s">
        <v>31</v>
      </c>
      <c r="R509" s="33" t="s">
        <v>31</v>
      </c>
      <c r="S509" s="37">
        <f t="shared" si="80"/>
        <v>1.3263358609287514</v>
      </c>
      <c r="T509" s="37">
        <f t="shared" si="81"/>
        <v>2.5315994037906777</v>
      </c>
      <c r="U509" s="42">
        <f t="shared" si="82"/>
        <v>2.7193312869837265</v>
      </c>
      <c r="V509" s="41">
        <f t="shared" si="83"/>
        <v>2.388556738199072</v>
      </c>
      <c r="W509" s="43" t="e">
        <f t="shared" si="84"/>
        <v>#VALUE!</v>
      </c>
      <c r="X509" s="43" t="e">
        <f t="shared" si="85"/>
        <v>#VALUE!</v>
      </c>
    </row>
    <row r="510" spans="1:24" ht="14.25" customHeight="1">
      <c r="A510" s="49"/>
      <c r="B510" s="12">
        <v>7</v>
      </c>
      <c r="C510" s="12">
        <f t="shared" si="88"/>
        <v>3.5</v>
      </c>
      <c r="D510" s="16" t="s">
        <v>42</v>
      </c>
      <c r="E510" s="16" t="s">
        <v>43</v>
      </c>
      <c r="F510" s="17" t="s">
        <v>34</v>
      </c>
      <c r="G510" s="17" t="s">
        <v>204</v>
      </c>
      <c r="H510" s="17" t="s">
        <v>29</v>
      </c>
      <c r="I510" s="17" t="s">
        <v>36</v>
      </c>
      <c r="J510" s="12">
        <v>2.12</v>
      </c>
      <c r="K510" s="12">
        <v>3.3340000000000001</v>
      </c>
      <c r="L510" s="12">
        <f t="shared" si="86"/>
        <v>57.264150943396217</v>
      </c>
      <c r="M510" s="9">
        <v>52.4</v>
      </c>
      <c r="N510" s="9">
        <v>54.43</v>
      </c>
      <c r="O510" s="10">
        <f t="shared" si="79"/>
        <v>3.8740458015267194</v>
      </c>
      <c r="P510" s="11" t="s">
        <v>31</v>
      </c>
      <c r="Q510" s="11" t="s">
        <v>31</v>
      </c>
      <c r="R510" s="33" t="s">
        <v>31</v>
      </c>
      <c r="S510" s="37">
        <f t="shared" si="80"/>
        <v>1.3263358609287514</v>
      </c>
      <c r="T510" s="37">
        <f t="shared" si="81"/>
        <v>2.757882825810487</v>
      </c>
      <c r="U510" s="42">
        <f t="shared" si="82"/>
        <v>2.7193312869837265</v>
      </c>
      <c r="V510" s="41">
        <f t="shared" si="83"/>
        <v>1.5881647509294865</v>
      </c>
      <c r="W510" s="43" t="e">
        <f t="shared" si="84"/>
        <v>#VALUE!</v>
      </c>
      <c r="X510" s="43" t="e">
        <f t="shared" si="85"/>
        <v>#VALUE!</v>
      </c>
    </row>
    <row r="511" spans="1:24" ht="14.25" customHeight="1">
      <c r="A511" s="50"/>
      <c r="B511" s="12">
        <v>9</v>
      </c>
      <c r="C511" s="12">
        <f t="shared" si="88"/>
        <v>4.5</v>
      </c>
      <c r="D511" s="16" t="s">
        <v>42</v>
      </c>
      <c r="E511" s="16" t="s">
        <v>43</v>
      </c>
      <c r="F511" s="17" t="s">
        <v>34</v>
      </c>
      <c r="G511" s="17" t="s">
        <v>204</v>
      </c>
      <c r="H511" s="17" t="s">
        <v>29</v>
      </c>
      <c r="I511" s="17" t="s">
        <v>36</v>
      </c>
      <c r="J511" s="12">
        <v>2.12</v>
      </c>
      <c r="K511" s="12">
        <v>2.4319999999999999</v>
      </c>
      <c r="L511" s="12">
        <f t="shared" si="86"/>
        <v>14.716981132075462</v>
      </c>
      <c r="M511" s="9">
        <v>52.4</v>
      </c>
      <c r="N511" s="9">
        <v>32.82</v>
      </c>
      <c r="O511" s="10">
        <f t="shared" si="79"/>
        <v>-37.36641221374046</v>
      </c>
      <c r="P511" s="11" t="s">
        <v>31</v>
      </c>
      <c r="Q511" s="11" t="s">
        <v>31</v>
      </c>
      <c r="R511" s="33" t="s">
        <v>31</v>
      </c>
      <c r="S511" s="37">
        <f t="shared" si="80"/>
        <v>1.3263358609287514</v>
      </c>
      <c r="T511" s="37">
        <f t="shared" si="81"/>
        <v>2.1678187330896912</v>
      </c>
      <c r="U511" s="42">
        <f t="shared" si="82"/>
        <v>2.7193312869837265</v>
      </c>
      <c r="V511" s="41" t="e">
        <f t="shared" si="83"/>
        <v>#NUM!</v>
      </c>
      <c r="W511" s="43" t="e">
        <f t="shared" si="84"/>
        <v>#VALUE!</v>
      </c>
      <c r="X511" s="43" t="e">
        <f t="shared" si="85"/>
        <v>#VALUE!</v>
      </c>
    </row>
    <row r="512" spans="1:24" ht="14.25" customHeight="1">
      <c r="A512" s="45" t="s">
        <v>205</v>
      </c>
      <c r="B512" s="12">
        <v>1</v>
      </c>
      <c r="C512" s="12">
        <f t="shared" si="88"/>
        <v>0.5</v>
      </c>
      <c r="D512" s="16" t="s">
        <v>42</v>
      </c>
      <c r="E512" s="16" t="s">
        <v>148</v>
      </c>
      <c r="F512" s="17" t="s">
        <v>34</v>
      </c>
      <c r="G512" s="15" t="s">
        <v>37</v>
      </c>
      <c r="H512" s="17" t="s">
        <v>29</v>
      </c>
      <c r="I512" s="17" t="s">
        <v>36</v>
      </c>
      <c r="J512" s="12">
        <v>2.75</v>
      </c>
      <c r="K512" s="12">
        <v>2.88</v>
      </c>
      <c r="L512" s="12">
        <f t="shared" si="86"/>
        <v>4.727272727272724</v>
      </c>
      <c r="M512" s="9">
        <v>65</v>
      </c>
      <c r="N512" s="9">
        <v>60</v>
      </c>
      <c r="O512" s="10">
        <f t="shared" si="79"/>
        <v>-7.6923076923076925</v>
      </c>
      <c r="P512" s="11">
        <v>2.5</v>
      </c>
      <c r="Q512" s="11">
        <v>2.2999999999999998</v>
      </c>
      <c r="R512" s="33">
        <f t="shared" si="87"/>
        <v>-8.0000000000000071</v>
      </c>
      <c r="S512" s="37">
        <f t="shared" si="80"/>
        <v>1.4393326938302626</v>
      </c>
      <c r="T512" s="37">
        <f t="shared" si="81"/>
        <v>1.6746106584765739</v>
      </c>
      <c r="U512" s="42">
        <f t="shared" si="82"/>
        <v>2.8129133566428557</v>
      </c>
      <c r="V512" s="41" t="e">
        <f t="shared" si="83"/>
        <v>#NUM!</v>
      </c>
      <c r="W512" s="43">
        <f t="shared" si="84"/>
        <v>1.3979400086720377</v>
      </c>
      <c r="X512" s="43" t="e">
        <f t="shared" si="85"/>
        <v>#NUM!</v>
      </c>
    </row>
    <row r="513" spans="1:24" ht="14.25" customHeight="1">
      <c r="A513" s="46"/>
      <c r="B513" s="12">
        <v>1</v>
      </c>
      <c r="C513" s="12">
        <f t="shared" si="88"/>
        <v>0.5</v>
      </c>
      <c r="D513" s="16" t="s">
        <v>42</v>
      </c>
      <c r="E513" s="16" t="s">
        <v>148</v>
      </c>
      <c r="F513" s="17" t="s">
        <v>34</v>
      </c>
      <c r="G513" s="15" t="s">
        <v>28</v>
      </c>
      <c r="H513" s="17" t="s">
        <v>29</v>
      </c>
      <c r="I513" s="17" t="s">
        <v>36</v>
      </c>
      <c r="J513" s="12">
        <v>2.75</v>
      </c>
      <c r="K513" s="12">
        <v>2.9</v>
      </c>
      <c r="L513" s="12">
        <f t="shared" si="86"/>
        <v>5.4545454545454515</v>
      </c>
      <c r="M513" s="9">
        <v>65</v>
      </c>
      <c r="N513" s="9">
        <v>62</v>
      </c>
      <c r="O513" s="10">
        <f t="shared" si="79"/>
        <v>-4.6153846153846159</v>
      </c>
      <c r="P513" s="11">
        <v>2.5</v>
      </c>
      <c r="Q513" s="11">
        <v>2.4</v>
      </c>
      <c r="R513" s="33">
        <f t="shared" si="87"/>
        <v>-4.0000000000000036</v>
      </c>
      <c r="S513" s="37">
        <f t="shared" si="80"/>
        <v>1.4393326938302626</v>
      </c>
      <c r="T513" s="37">
        <f t="shared" si="81"/>
        <v>1.7367585652254183</v>
      </c>
      <c r="U513" s="42">
        <f t="shared" si="82"/>
        <v>2.8129133566428557</v>
      </c>
      <c r="V513" s="41" t="e">
        <f t="shared" si="83"/>
        <v>#NUM!</v>
      </c>
      <c r="W513" s="43">
        <f t="shared" si="84"/>
        <v>1.3979400086720377</v>
      </c>
      <c r="X513" s="43" t="e">
        <f t="shared" si="85"/>
        <v>#NUM!</v>
      </c>
    </row>
    <row r="514" spans="1:24" ht="14.25" customHeight="1">
      <c r="A514" s="46"/>
      <c r="B514" s="12">
        <v>2</v>
      </c>
      <c r="C514" s="12">
        <f t="shared" si="88"/>
        <v>1</v>
      </c>
      <c r="D514" s="16" t="s">
        <v>42</v>
      </c>
      <c r="E514" s="16" t="s">
        <v>148</v>
      </c>
      <c r="F514" s="17" t="s">
        <v>34</v>
      </c>
      <c r="G514" s="15" t="s">
        <v>37</v>
      </c>
      <c r="H514" s="17" t="s">
        <v>29</v>
      </c>
      <c r="I514" s="17" t="s">
        <v>36</v>
      </c>
      <c r="J514" s="12">
        <v>2.75</v>
      </c>
      <c r="K514" s="12">
        <v>2.91</v>
      </c>
      <c r="L514" s="12">
        <f t="shared" si="86"/>
        <v>5.8181818181818228</v>
      </c>
      <c r="M514" s="9">
        <v>65</v>
      </c>
      <c r="N514" s="9">
        <v>58</v>
      </c>
      <c r="O514" s="10">
        <f t="shared" si="79"/>
        <v>-10.76923076923077</v>
      </c>
      <c r="P514" s="11">
        <v>2.5</v>
      </c>
      <c r="Q514" s="11">
        <v>2</v>
      </c>
      <c r="R514" s="33">
        <f t="shared" si="87"/>
        <v>-20</v>
      </c>
      <c r="S514" s="37">
        <f t="shared" si="80"/>
        <v>1.4393326938302626</v>
      </c>
      <c r="T514" s="37">
        <f t="shared" si="81"/>
        <v>1.7647872888256624</v>
      </c>
      <c r="U514" s="42">
        <f t="shared" si="82"/>
        <v>2.8129133566428557</v>
      </c>
      <c r="V514" s="41" t="e">
        <f t="shared" si="83"/>
        <v>#NUM!</v>
      </c>
      <c r="W514" s="43">
        <f t="shared" si="84"/>
        <v>1.3979400086720377</v>
      </c>
      <c r="X514" s="43" t="e">
        <f t="shared" si="85"/>
        <v>#NUM!</v>
      </c>
    </row>
    <row r="515" spans="1:24" ht="14.25" customHeight="1">
      <c r="A515" s="46"/>
      <c r="B515" s="12">
        <v>2</v>
      </c>
      <c r="C515" s="12">
        <f t="shared" si="88"/>
        <v>1</v>
      </c>
      <c r="D515" s="16" t="s">
        <v>42</v>
      </c>
      <c r="E515" s="16" t="s">
        <v>148</v>
      </c>
      <c r="F515" s="17" t="s">
        <v>34</v>
      </c>
      <c r="G515" s="15" t="s">
        <v>28</v>
      </c>
      <c r="H515" s="17" t="s">
        <v>29</v>
      </c>
      <c r="I515" s="17" t="s">
        <v>36</v>
      </c>
      <c r="J515" s="12">
        <v>2.75</v>
      </c>
      <c r="K515" s="12">
        <v>3.05</v>
      </c>
      <c r="L515" s="12">
        <f t="shared" si="86"/>
        <v>10.909090909090903</v>
      </c>
      <c r="M515" s="9">
        <v>65</v>
      </c>
      <c r="N515" s="9">
        <v>60</v>
      </c>
      <c r="O515" s="10">
        <f t="shared" si="79"/>
        <v>-7.6923076923076925</v>
      </c>
      <c r="P515" s="11">
        <v>2.5</v>
      </c>
      <c r="Q515" s="11">
        <v>2.2000000000000002</v>
      </c>
      <c r="R515" s="33">
        <f t="shared" si="87"/>
        <v>-11.999999999999993</v>
      </c>
      <c r="S515" s="37">
        <f t="shared" si="80"/>
        <v>1.4393326938302626</v>
      </c>
      <c r="T515" s="37">
        <f t="shared" si="81"/>
        <v>2.0377885608893997</v>
      </c>
      <c r="U515" s="42">
        <f t="shared" si="82"/>
        <v>2.8129133566428557</v>
      </c>
      <c r="V515" s="41" t="e">
        <f t="shared" si="83"/>
        <v>#NUM!</v>
      </c>
      <c r="W515" s="43">
        <f t="shared" si="84"/>
        <v>1.3979400086720377</v>
      </c>
      <c r="X515" s="43" t="e">
        <f t="shared" si="85"/>
        <v>#NUM!</v>
      </c>
    </row>
    <row r="516" spans="1:24" ht="14.25" customHeight="1">
      <c r="A516" s="46"/>
      <c r="B516" s="12">
        <v>3</v>
      </c>
      <c r="C516" s="12">
        <f t="shared" si="88"/>
        <v>1.5</v>
      </c>
      <c r="D516" s="16" t="s">
        <v>42</v>
      </c>
      <c r="E516" s="16" t="s">
        <v>148</v>
      </c>
      <c r="F516" s="17" t="s">
        <v>34</v>
      </c>
      <c r="G516" s="15" t="s">
        <v>37</v>
      </c>
      <c r="H516" s="17" t="s">
        <v>29</v>
      </c>
      <c r="I516" s="17" t="s">
        <v>36</v>
      </c>
      <c r="J516" s="12">
        <v>2.75</v>
      </c>
      <c r="K516" s="12">
        <v>3.07</v>
      </c>
      <c r="L516" s="12">
        <f t="shared" si="86"/>
        <v>11.636363636363631</v>
      </c>
      <c r="M516" s="9">
        <v>65</v>
      </c>
      <c r="N516" s="9">
        <v>55</v>
      </c>
      <c r="O516" s="10">
        <f t="shared" si="79"/>
        <v>-15.384615384615385</v>
      </c>
      <c r="P516" s="11">
        <v>2.5</v>
      </c>
      <c r="Q516" s="11">
        <v>1.8</v>
      </c>
      <c r="R516" s="33">
        <f t="shared" si="87"/>
        <v>-27.999999999999996</v>
      </c>
      <c r="S516" s="37">
        <f t="shared" ref="S516:S579" si="89">LOG10(J516*10)</f>
        <v>1.4393326938302626</v>
      </c>
      <c r="T516" s="37">
        <f t="shared" ref="T516:T579" si="90">LOG10(L516*10)</f>
        <v>2.065817284489643</v>
      </c>
      <c r="U516" s="42">
        <f t="shared" ref="U516:U579" si="91">LOG10(M516*10)</f>
        <v>2.8129133566428557</v>
      </c>
      <c r="V516" s="41" t="e">
        <f t="shared" ref="V516:V579" si="92">LOG10(O516*10)</f>
        <v>#NUM!</v>
      </c>
      <c r="W516" s="43">
        <f t="shared" ref="W516:W579" si="93">LOG10(P516*10)</f>
        <v>1.3979400086720377</v>
      </c>
      <c r="X516" s="43" t="e">
        <f t="shared" ref="X516:X579" si="94">LOG10(R516*10)</f>
        <v>#NUM!</v>
      </c>
    </row>
    <row r="517" spans="1:24" ht="14.25" customHeight="1">
      <c r="A517" s="46"/>
      <c r="B517" s="12">
        <v>3</v>
      </c>
      <c r="C517" s="12">
        <f t="shared" si="88"/>
        <v>1.5</v>
      </c>
      <c r="D517" s="16" t="s">
        <v>42</v>
      </c>
      <c r="E517" s="16" t="s">
        <v>148</v>
      </c>
      <c r="F517" s="17" t="s">
        <v>34</v>
      </c>
      <c r="G517" s="15" t="s">
        <v>206</v>
      </c>
      <c r="H517" s="17" t="s">
        <v>29</v>
      </c>
      <c r="I517" s="17" t="s">
        <v>36</v>
      </c>
      <c r="J517" s="12">
        <v>2.75</v>
      </c>
      <c r="K517" s="12">
        <v>3</v>
      </c>
      <c r="L517" s="12">
        <f t="shared" si="86"/>
        <v>9.0909090909090917</v>
      </c>
      <c r="M517" s="9">
        <v>65</v>
      </c>
      <c r="N517" s="9">
        <v>58</v>
      </c>
      <c r="O517" s="10">
        <f t="shared" si="79"/>
        <v>-10.76923076923077</v>
      </c>
      <c r="P517" s="11">
        <v>2.5</v>
      </c>
      <c r="Q517" s="11">
        <v>2</v>
      </c>
      <c r="R517" s="33">
        <f t="shared" si="87"/>
        <v>-20</v>
      </c>
      <c r="S517" s="37">
        <f t="shared" si="89"/>
        <v>1.4393326938302626</v>
      </c>
      <c r="T517" s="37">
        <f t="shared" si="90"/>
        <v>1.9586073148417751</v>
      </c>
      <c r="U517" s="42">
        <f t="shared" si="91"/>
        <v>2.8129133566428557</v>
      </c>
      <c r="V517" s="41" t="e">
        <f t="shared" si="92"/>
        <v>#NUM!</v>
      </c>
      <c r="W517" s="43">
        <f t="shared" si="93"/>
        <v>1.3979400086720377</v>
      </c>
      <c r="X517" s="43" t="e">
        <f t="shared" si="94"/>
        <v>#NUM!</v>
      </c>
    </row>
    <row r="518" spans="1:24" ht="14.25" customHeight="1">
      <c r="A518" s="46"/>
      <c r="B518" s="12">
        <v>5</v>
      </c>
      <c r="C518" s="12">
        <f t="shared" si="88"/>
        <v>2.5</v>
      </c>
      <c r="D518" s="16" t="s">
        <v>42</v>
      </c>
      <c r="E518" s="16" t="s">
        <v>148</v>
      </c>
      <c r="F518" s="17" t="s">
        <v>34</v>
      </c>
      <c r="G518" s="15" t="s">
        <v>37</v>
      </c>
      <c r="H518" s="17" t="s">
        <v>29</v>
      </c>
      <c r="I518" s="17" t="s">
        <v>36</v>
      </c>
      <c r="J518" s="12">
        <v>2.75</v>
      </c>
      <c r="K518" s="12">
        <v>3.23</v>
      </c>
      <c r="L518" s="12">
        <f t="shared" si="86"/>
        <v>17.454545454545453</v>
      </c>
      <c r="M518" s="9">
        <v>65</v>
      </c>
      <c r="N518" s="9">
        <v>50</v>
      </c>
      <c r="O518" s="10">
        <f t="shared" si="79"/>
        <v>-23.076923076923077</v>
      </c>
      <c r="P518" s="11">
        <v>2.5</v>
      </c>
      <c r="Q518" s="11">
        <v>1.5</v>
      </c>
      <c r="R518" s="33">
        <f t="shared" si="87"/>
        <v>-40</v>
      </c>
      <c r="S518" s="37">
        <f t="shared" si="89"/>
        <v>1.4393326938302626</v>
      </c>
      <c r="T518" s="37">
        <f t="shared" si="90"/>
        <v>2.2419085435453243</v>
      </c>
      <c r="U518" s="42">
        <f t="shared" si="91"/>
        <v>2.8129133566428557</v>
      </c>
      <c r="V518" s="41" t="e">
        <f t="shared" si="92"/>
        <v>#NUM!</v>
      </c>
      <c r="W518" s="43">
        <f t="shared" si="93"/>
        <v>1.3979400086720377</v>
      </c>
      <c r="X518" s="43" t="e">
        <f t="shared" si="94"/>
        <v>#NUM!</v>
      </c>
    </row>
    <row r="519" spans="1:24" ht="14.25" customHeight="1">
      <c r="A519" s="46"/>
      <c r="B519" s="12">
        <v>5</v>
      </c>
      <c r="C519" s="12">
        <f t="shared" si="88"/>
        <v>2.5</v>
      </c>
      <c r="D519" s="16" t="s">
        <v>42</v>
      </c>
      <c r="E519" s="16" t="s">
        <v>148</v>
      </c>
      <c r="F519" s="17" t="s">
        <v>34</v>
      </c>
      <c r="G519" s="15" t="s">
        <v>206</v>
      </c>
      <c r="H519" s="17" t="s">
        <v>29</v>
      </c>
      <c r="I519" s="17" t="s">
        <v>36</v>
      </c>
      <c r="J519" s="12">
        <v>2.75</v>
      </c>
      <c r="K519" s="12">
        <v>3.5</v>
      </c>
      <c r="L519" s="12">
        <f t="shared" si="86"/>
        <v>27.27272727272727</v>
      </c>
      <c r="M519" s="9">
        <v>65</v>
      </c>
      <c r="N519" s="9">
        <v>52</v>
      </c>
      <c r="O519" s="10">
        <f t="shared" si="79"/>
        <v>-20</v>
      </c>
      <c r="P519" s="11">
        <v>2.5</v>
      </c>
      <c r="Q519" s="11">
        <v>1.7</v>
      </c>
      <c r="R519" s="33">
        <f t="shared" si="87"/>
        <v>-32</v>
      </c>
      <c r="S519" s="37">
        <f t="shared" si="89"/>
        <v>1.4393326938302626</v>
      </c>
      <c r="T519" s="37">
        <f t="shared" si="90"/>
        <v>2.4357285695614372</v>
      </c>
      <c r="U519" s="42">
        <f t="shared" si="91"/>
        <v>2.8129133566428557</v>
      </c>
      <c r="V519" s="41" t="e">
        <f t="shared" si="92"/>
        <v>#NUM!</v>
      </c>
      <c r="W519" s="43">
        <f t="shared" si="93"/>
        <v>1.3979400086720377</v>
      </c>
      <c r="X519" s="43" t="e">
        <f t="shared" si="94"/>
        <v>#NUM!</v>
      </c>
    </row>
    <row r="520" spans="1:24" ht="14.25" customHeight="1">
      <c r="A520" s="46"/>
      <c r="B520" s="12">
        <v>7</v>
      </c>
      <c r="C520" s="12">
        <f t="shared" si="88"/>
        <v>3.5</v>
      </c>
      <c r="D520" s="16" t="s">
        <v>42</v>
      </c>
      <c r="E520" s="16" t="s">
        <v>148</v>
      </c>
      <c r="F520" s="17" t="s">
        <v>34</v>
      </c>
      <c r="G520" s="15" t="s">
        <v>37</v>
      </c>
      <c r="H520" s="17" t="s">
        <v>29</v>
      </c>
      <c r="I520" s="17" t="s">
        <v>36</v>
      </c>
      <c r="J520" s="12">
        <v>2.75</v>
      </c>
      <c r="K520" s="12">
        <v>3.35</v>
      </c>
      <c r="L520" s="12">
        <f t="shared" si="86"/>
        <v>21.818181818181824</v>
      </c>
      <c r="M520" s="9">
        <v>65</v>
      </c>
      <c r="N520" s="9">
        <v>45</v>
      </c>
      <c r="O520" s="10">
        <f t="shared" si="79"/>
        <v>-30.76923076923077</v>
      </c>
      <c r="P520" s="11">
        <v>2.5</v>
      </c>
      <c r="Q520" s="11">
        <v>1.2</v>
      </c>
      <c r="R520" s="33">
        <f t="shared" si="87"/>
        <v>-52</v>
      </c>
      <c r="S520" s="37">
        <f t="shared" si="89"/>
        <v>1.4393326938302626</v>
      </c>
      <c r="T520" s="37">
        <f t="shared" si="90"/>
        <v>2.338818556553381</v>
      </c>
      <c r="U520" s="42">
        <f t="shared" si="91"/>
        <v>2.8129133566428557</v>
      </c>
      <c r="V520" s="41" t="e">
        <f t="shared" si="92"/>
        <v>#NUM!</v>
      </c>
      <c r="W520" s="43">
        <f t="shared" si="93"/>
        <v>1.3979400086720377</v>
      </c>
      <c r="X520" s="43" t="e">
        <f t="shared" si="94"/>
        <v>#NUM!</v>
      </c>
    </row>
    <row r="521" spans="1:24" ht="14.25" customHeight="1">
      <c r="A521" s="46"/>
      <c r="B521" s="12">
        <v>7</v>
      </c>
      <c r="C521" s="12">
        <f t="shared" si="88"/>
        <v>3.5</v>
      </c>
      <c r="D521" s="16" t="s">
        <v>42</v>
      </c>
      <c r="E521" s="16" t="s">
        <v>148</v>
      </c>
      <c r="F521" s="17" t="s">
        <v>34</v>
      </c>
      <c r="G521" s="15" t="s">
        <v>206</v>
      </c>
      <c r="H521" s="17" t="s">
        <v>29</v>
      </c>
      <c r="I521" s="17" t="s">
        <v>36</v>
      </c>
      <c r="J521" s="12">
        <v>2.75</v>
      </c>
      <c r="K521" s="12">
        <v>3.55</v>
      </c>
      <c r="L521" s="12">
        <f t="shared" si="86"/>
        <v>29.090909090909083</v>
      </c>
      <c r="M521" s="9">
        <v>65</v>
      </c>
      <c r="N521" s="9">
        <v>48</v>
      </c>
      <c r="O521" s="10">
        <f t="shared" si="79"/>
        <v>-26.153846153846157</v>
      </c>
      <c r="P521" s="11">
        <v>2.5</v>
      </c>
      <c r="Q521" s="11">
        <v>1.4</v>
      </c>
      <c r="R521" s="33">
        <f t="shared" si="87"/>
        <v>-44.000000000000007</v>
      </c>
      <c r="S521" s="37">
        <f t="shared" si="89"/>
        <v>1.4393326938302626</v>
      </c>
      <c r="T521" s="37">
        <f t="shared" si="90"/>
        <v>2.4637572931616809</v>
      </c>
      <c r="U521" s="42">
        <f t="shared" si="91"/>
        <v>2.8129133566428557</v>
      </c>
      <c r="V521" s="41" t="e">
        <f t="shared" si="92"/>
        <v>#NUM!</v>
      </c>
      <c r="W521" s="43">
        <f t="shared" si="93"/>
        <v>1.3979400086720377</v>
      </c>
      <c r="X521" s="43" t="e">
        <f t="shared" si="94"/>
        <v>#NUM!</v>
      </c>
    </row>
    <row r="522" spans="1:24" ht="14.25" customHeight="1">
      <c r="A522" s="49"/>
      <c r="B522" s="12">
        <v>10</v>
      </c>
      <c r="C522" s="12">
        <f t="shared" si="88"/>
        <v>5</v>
      </c>
      <c r="D522" s="16" t="s">
        <v>42</v>
      </c>
      <c r="E522" s="16" t="s">
        <v>148</v>
      </c>
      <c r="F522" s="17" t="s">
        <v>34</v>
      </c>
      <c r="G522" s="15" t="s">
        <v>37</v>
      </c>
      <c r="H522" s="17" t="s">
        <v>29</v>
      </c>
      <c r="I522" s="17" t="s">
        <v>36</v>
      </c>
      <c r="J522" s="12">
        <v>2.75</v>
      </c>
      <c r="K522" s="12">
        <v>3.37</v>
      </c>
      <c r="L522" s="12">
        <f t="shared" si="86"/>
        <v>22.54545454545455</v>
      </c>
      <c r="M522" s="9">
        <v>65</v>
      </c>
      <c r="N522" s="9">
        <v>40</v>
      </c>
      <c r="O522" s="10">
        <f t="shared" si="79"/>
        <v>-38.461538461538467</v>
      </c>
      <c r="P522" s="11">
        <v>2.5</v>
      </c>
      <c r="Q522" s="11">
        <v>1</v>
      </c>
      <c r="R522" s="33">
        <f t="shared" ref="R522:R580" si="95">((Q522-P522)/P522)*100</f>
        <v>-60</v>
      </c>
      <c r="S522" s="37">
        <f t="shared" si="89"/>
        <v>1.4393326938302626</v>
      </c>
      <c r="T522" s="37">
        <f t="shared" si="90"/>
        <v>2.3530589956679915</v>
      </c>
      <c r="U522" s="42">
        <f t="shared" si="91"/>
        <v>2.8129133566428557</v>
      </c>
      <c r="V522" s="41" t="e">
        <f t="shared" si="92"/>
        <v>#NUM!</v>
      </c>
      <c r="W522" s="43">
        <f t="shared" si="93"/>
        <v>1.3979400086720377</v>
      </c>
      <c r="X522" s="43" t="e">
        <f t="shared" si="94"/>
        <v>#NUM!</v>
      </c>
    </row>
    <row r="523" spans="1:24" ht="14.25" customHeight="1">
      <c r="A523" s="50"/>
      <c r="B523" s="12">
        <v>10</v>
      </c>
      <c r="C523" s="12">
        <f t="shared" si="88"/>
        <v>5</v>
      </c>
      <c r="D523" s="16" t="s">
        <v>42</v>
      </c>
      <c r="E523" s="16" t="s">
        <v>148</v>
      </c>
      <c r="F523" s="17" t="s">
        <v>34</v>
      </c>
      <c r="G523" s="15" t="s">
        <v>206</v>
      </c>
      <c r="H523" s="17" t="s">
        <v>29</v>
      </c>
      <c r="I523" s="17" t="s">
        <v>36</v>
      </c>
      <c r="J523" s="12">
        <v>2.75</v>
      </c>
      <c r="K523" s="12">
        <v>4.2</v>
      </c>
      <c r="L523" s="12">
        <f t="shared" si="86"/>
        <v>52.727272727272734</v>
      </c>
      <c r="M523" s="9">
        <v>65</v>
      </c>
      <c r="N523" s="9">
        <v>42</v>
      </c>
      <c r="O523" s="10">
        <f t="shared" si="79"/>
        <v>-35.384615384615387</v>
      </c>
      <c r="P523" s="11">
        <v>2.5</v>
      </c>
      <c r="Q523" s="11">
        <v>1.1000000000000001</v>
      </c>
      <c r="R523" s="33">
        <f t="shared" si="95"/>
        <v>-55.999999999999993</v>
      </c>
      <c r="S523" s="37">
        <f t="shared" si="89"/>
        <v>1.4393326938302626</v>
      </c>
      <c r="T523" s="37">
        <f t="shared" si="90"/>
        <v>2.7220353084047124</v>
      </c>
      <c r="U523" s="42">
        <f t="shared" si="91"/>
        <v>2.8129133566428557</v>
      </c>
      <c r="V523" s="41" t="e">
        <f t="shared" si="92"/>
        <v>#NUM!</v>
      </c>
      <c r="W523" s="43">
        <f t="shared" si="93"/>
        <v>1.3979400086720377</v>
      </c>
      <c r="X523" s="43" t="e">
        <f t="shared" si="94"/>
        <v>#NUM!</v>
      </c>
    </row>
    <row r="524" spans="1:24" ht="14.25" customHeight="1">
      <c r="A524" s="45" t="s">
        <v>207</v>
      </c>
      <c r="B524" s="12">
        <v>2</v>
      </c>
      <c r="C524" s="12">
        <f t="shared" si="88"/>
        <v>1</v>
      </c>
      <c r="D524" s="16" t="s">
        <v>42</v>
      </c>
      <c r="E524" s="16" t="s">
        <v>43</v>
      </c>
      <c r="F524" s="17" t="s">
        <v>34</v>
      </c>
      <c r="G524" s="17" t="s">
        <v>28</v>
      </c>
      <c r="H524" s="17" t="s">
        <v>29</v>
      </c>
      <c r="I524" s="17" t="s">
        <v>36</v>
      </c>
      <c r="J524" s="12">
        <v>2.8039999999999998</v>
      </c>
      <c r="K524" s="12">
        <v>2.9780000000000002</v>
      </c>
      <c r="L524" s="12">
        <f t="shared" si="86"/>
        <v>6.2054208273894575</v>
      </c>
      <c r="M524" s="9">
        <v>45</v>
      </c>
      <c r="N524" s="9">
        <v>47</v>
      </c>
      <c r="O524" s="10">
        <f t="shared" si="79"/>
        <v>4.4444444444444446</v>
      </c>
      <c r="P524" s="11">
        <v>3.5</v>
      </c>
      <c r="Q524" s="11">
        <v>3.2</v>
      </c>
      <c r="R524" s="33">
        <f t="shared" si="95"/>
        <v>-8.5714285714285658</v>
      </c>
      <c r="S524" s="37">
        <f t="shared" si="89"/>
        <v>1.4477780092946211</v>
      </c>
      <c r="T524" s="37">
        <f t="shared" si="90"/>
        <v>1.7927712389879797</v>
      </c>
      <c r="U524" s="42">
        <f t="shared" si="91"/>
        <v>2.6532125137753435</v>
      </c>
      <c r="V524" s="41">
        <f t="shared" si="92"/>
        <v>1.6478174818886375</v>
      </c>
      <c r="W524" s="43">
        <f t="shared" si="93"/>
        <v>1.5440680443502757</v>
      </c>
      <c r="X524" s="43" t="e">
        <f t="shared" si="94"/>
        <v>#NUM!</v>
      </c>
    </row>
    <row r="525" spans="1:24" ht="14.25" customHeight="1">
      <c r="A525" s="50"/>
      <c r="B525" s="12">
        <v>5</v>
      </c>
      <c r="C525" s="12">
        <f t="shared" si="88"/>
        <v>2.5</v>
      </c>
      <c r="D525" s="16" t="s">
        <v>42</v>
      </c>
      <c r="E525" s="16" t="s">
        <v>43</v>
      </c>
      <c r="F525" s="17" t="s">
        <v>34</v>
      </c>
      <c r="G525" s="17" t="s">
        <v>28</v>
      </c>
      <c r="H525" s="17" t="s">
        <v>29</v>
      </c>
      <c r="I525" s="17" t="s">
        <v>36</v>
      </c>
      <c r="J525" s="12">
        <v>2.8039999999999998</v>
      </c>
      <c r="K525" s="12">
        <v>3.0369999999999999</v>
      </c>
      <c r="L525" s="12">
        <f t="shared" si="86"/>
        <v>8.3095577746077076</v>
      </c>
      <c r="M525" s="9">
        <v>45</v>
      </c>
      <c r="N525" s="9">
        <v>50</v>
      </c>
      <c r="O525" s="10">
        <f t="shared" ref="O525:O584" si="96">(N525-M525)/M525*100</f>
        <v>11.111111111111111</v>
      </c>
      <c r="P525" s="11">
        <v>3.5</v>
      </c>
      <c r="Q525" s="11">
        <v>2.5</v>
      </c>
      <c r="R525" s="33">
        <f t="shared" si="95"/>
        <v>-28.571428571428569</v>
      </c>
      <c r="S525" s="37">
        <f t="shared" si="89"/>
        <v>1.4477780092946211</v>
      </c>
      <c r="T525" s="37">
        <f t="shared" si="90"/>
        <v>1.9195779117313982</v>
      </c>
      <c r="U525" s="42">
        <f t="shared" si="91"/>
        <v>2.6532125137753435</v>
      </c>
      <c r="V525" s="41">
        <f t="shared" si="92"/>
        <v>2.0457574905606752</v>
      </c>
      <c r="W525" s="43">
        <f t="shared" si="93"/>
        <v>1.5440680443502757</v>
      </c>
      <c r="X525" s="43" t="e">
        <f t="shared" si="94"/>
        <v>#NUM!</v>
      </c>
    </row>
    <row r="526" spans="1:24" ht="14.25" customHeight="1">
      <c r="A526" s="45" t="s">
        <v>208</v>
      </c>
      <c r="B526" s="12">
        <v>1</v>
      </c>
      <c r="C526" s="12">
        <f t="shared" si="88"/>
        <v>0.5</v>
      </c>
      <c r="D526" s="16" t="s">
        <v>25</v>
      </c>
      <c r="E526" s="12" t="s">
        <v>107</v>
      </c>
      <c r="F526" s="17" t="s">
        <v>34</v>
      </c>
      <c r="G526" s="15" t="s">
        <v>28</v>
      </c>
      <c r="H526" s="17" t="s">
        <v>29</v>
      </c>
      <c r="I526" s="17" t="s">
        <v>36</v>
      </c>
      <c r="J526" s="12">
        <v>0.8</v>
      </c>
      <c r="K526" s="12">
        <v>1.1299999999999999</v>
      </c>
      <c r="L526" s="12">
        <f t="shared" si="86"/>
        <v>41.249999999999979</v>
      </c>
      <c r="M526" s="9">
        <v>38.979999999999997</v>
      </c>
      <c r="N526" s="9">
        <v>40</v>
      </c>
      <c r="O526" s="10">
        <f t="shared" si="96"/>
        <v>2.6167265264238155</v>
      </c>
      <c r="P526" s="11">
        <v>0.15</v>
      </c>
      <c r="Q526" s="11">
        <v>0.12</v>
      </c>
      <c r="R526" s="33">
        <f t="shared" si="95"/>
        <v>-20</v>
      </c>
      <c r="S526" s="37">
        <f t="shared" si="89"/>
        <v>0.90308998699194354</v>
      </c>
      <c r="T526" s="37">
        <f t="shared" si="90"/>
        <v>2.6154239528859438</v>
      </c>
      <c r="U526" s="42">
        <f t="shared" si="91"/>
        <v>2.5908418347816027</v>
      </c>
      <c r="V526" s="41">
        <f t="shared" si="92"/>
        <v>1.4177583369803164</v>
      </c>
      <c r="W526" s="43">
        <f t="shared" si="93"/>
        <v>0.17609125905568124</v>
      </c>
      <c r="X526" s="43" t="e">
        <f t="shared" si="94"/>
        <v>#NUM!</v>
      </c>
    </row>
    <row r="527" spans="1:24" ht="14.25" customHeight="1">
      <c r="A527" s="46"/>
      <c r="B527" s="12">
        <v>2.5</v>
      </c>
      <c r="C527" s="12">
        <f t="shared" si="88"/>
        <v>1.25</v>
      </c>
      <c r="D527" s="16" t="s">
        <v>25</v>
      </c>
      <c r="E527" s="12" t="s">
        <v>107</v>
      </c>
      <c r="F527" s="17" t="s">
        <v>34</v>
      </c>
      <c r="G527" s="15" t="s">
        <v>35</v>
      </c>
      <c r="H527" s="17" t="s">
        <v>29</v>
      </c>
      <c r="I527" s="17" t="s">
        <v>36</v>
      </c>
      <c r="J527" s="12">
        <v>0.8</v>
      </c>
      <c r="K527" s="12">
        <v>1.49</v>
      </c>
      <c r="L527" s="12">
        <f t="shared" si="86"/>
        <v>86.25</v>
      </c>
      <c r="M527" s="9">
        <v>38.979999999999997</v>
      </c>
      <c r="N527" s="9">
        <v>41.23</v>
      </c>
      <c r="O527" s="10">
        <f t="shared" si="96"/>
        <v>5.7721908671113393</v>
      </c>
      <c r="P527" s="11">
        <v>0.15</v>
      </c>
      <c r="Q527" s="11">
        <v>0.12</v>
      </c>
      <c r="R527" s="33">
        <f t="shared" si="95"/>
        <v>-20</v>
      </c>
      <c r="S527" s="37">
        <f t="shared" si="89"/>
        <v>0.90308998699194354</v>
      </c>
      <c r="T527" s="37">
        <f t="shared" si="90"/>
        <v>2.9357591037453119</v>
      </c>
      <c r="U527" s="42">
        <f t="shared" si="91"/>
        <v>2.5908418347816027</v>
      </c>
      <c r="V527" s="41">
        <f t="shared" si="92"/>
        <v>1.7613406833297598</v>
      </c>
      <c r="W527" s="43">
        <f t="shared" si="93"/>
        <v>0.17609125905568124</v>
      </c>
      <c r="X527" s="43" t="e">
        <f t="shared" si="94"/>
        <v>#NUM!</v>
      </c>
    </row>
    <row r="528" spans="1:24" ht="14.25" customHeight="1">
      <c r="A528" s="46"/>
      <c r="B528" s="12">
        <v>5</v>
      </c>
      <c r="C528" s="12">
        <f t="shared" si="88"/>
        <v>2.5</v>
      </c>
      <c r="D528" s="16" t="s">
        <v>25</v>
      </c>
      <c r="E528" s="12" t="s">
        <v>107</v>
      </c>
      <c r="F528" s="17" t="s">
        <v>34</v>
      </c>
      <c r="G528" s="15" t="s">
        <v>37</v>
      </c>
      <c r="H528" s="17" t="s">
        <v>29</v>
      </c>
      <c r="I528" s="17" t="s">
        <v>36</v>
      </c>
      <c r="J528" s="12">
        <v>0.8</v>
      </c>
      <c r="K528" s="12">
        <v>2.0499999999999998</v>
      </c>
      <c r="L528" s="12">
        <f t="shared" si="86"/>
        <v>156.24999999999994</v>
      </c>
      <c r="M528" s="9">
        <v>38.979999999999997</v>
      </c>
      <c r="N528" s="9">
        <v>44.8</v>
      </c>
      <c r="O528" s="10">
        <f t="shared" si="96"/>
        <v>14.930733709594666</v>
      </c>
      <c r="P528" s="11">
        <v>0.15</v>
      </c>
      <c r="Q528" s="11">
        <v>0.12</v>
      </c>
      <c r="R528" s="33">
        <f t="shared" si="95"/>
        <v>-20</v>
      </c>
      <c r="S528" s="37">
        <f t="shared" si="89"/>
        <v>0.90308998699194354</v>
      </c>
      <c r="T528" s="37">
        <f t="shared" si="90"/>
        <v>3.1938200260161129</v>
      </c>
      <c r="U528" s="42">
        <f t="shared" si="91"/>
        <v>2.5908418347816027</v>
      </c>
      <c r="V528" s="41">
        <f t="shared" si="92"/>
        <v>2.1740811498682859</v>
      </c>
      <c r="W528" s="43">
        <f t="shared" si="93"/>
        <v>0.17609125905568124</v>
      </c>
      <c r="X528" s="43" t="e">
        <f t="shared" si="94"/>
        <v>#NUM!</v>
      </c>
    </row>
    <row r="529" spans="1:24" ht="14.25" customHeight="1">
      <c r="A529" s="46"/>
      <c r="B529" s="12">
        <v>7.5</v>
      </c>
      <c r="C529" s="12">
        <f t="shared" si="88"/>
        <v>3.75</v>
      </c>
      <c r="D529" s="16" t="s">
        <v>25</v>
      </c>
      <c r="E529" s="12" t="s">
        <v>107</v>
      </c>
      <c r="F529" s="17" t="s">
        <v>34</v>
      </c>
      <c r="G529" s="15" t="s">
        <v>37</v>
      </c>
      <c r="H529" s="17" t="s">
        <v>29</v>
      </c>
      <c r="I529" s="17" t="s">
        <v>36</v>
      </c>
      <c r="J529" s="12">
        <v>0.8</v>
      </c>
      <c r="K529" s="12">
        <v>2.62</v>
      </c>
      <c r="L529" s="12">
        <f t="shared" si="86"/>
        <v>227.5</v>
      </c>
      <c r="M529" s="9">
        <v>38.979999999999997</v>
      </c>
      <c r="N529" s="9">
        <v>65.14</v>
      </c>
      <c r="O529" s="10">
        <f t="shared" si="96"/>
        <v>67.111339148281175</v>
      </c>
      <c r="P529" s="11">
        <v>0.15</v>
      </c>
      <c r="Q529" s="11">
        <v>0.12</v>
      </c>
      <c r="R529" s="33">
        <f t="shared" si="95"/>
        <v>-20</v>
      </c>
      <c r="S529" s="37">
        <f t="shared" si="89"/>
        <v>0.90308998699194354</v>
      </c>
      <c r="T529" s="37">
        <f t="shared" si="90"/>
        <v>3.3569814009931314</v>
      </c>
      <c r="U529" s="42">
        <f t="shared" si="91"/>
        <v>2.5908418347816027</v>
      </c>
      <c r="V529" s="41">
        <f t="shared" si="92"/>
        <v>2.826795904870627</v>
      </c>
      <c r="W529" s="43">
        <f t="shared" si="93"/>
        <v>0.17609125905568124</v>
      </c>
      <c r="X529" s="43" t="e">
        <f t="shared" si="94"/>
        <v>#NUM!</v>
      </c>
    </row>
    <row r="530" spans="1:24" ht="14.25" customHeight="1">
      <c r="A530" s="46"/>
      <c r="B530" s="12">
        <v>1</v>
      </c>
      <c r="C530" s="12">
        <f t="shared" si="88"/>
        <v>0.5</v>
      </c>
      <c r="D530" s="16" t="s">
        <v>25</v>
      </c>
      <c r="E530" s="12" t="s">
        <v>107</v>
      </c>
      <c r="F530" s="17" t="s">
        <v>34</v>
      </c>
      <c r="G530" s="15" t="s">
        <v>28</v>
      </c>
      <c r="H530" s="17" t="s">
        <v>29</v>
      </c>
      <c r="I530" s="17" t="s">
        <v>36</v>
      </c>
      <c r="J530" s="12">
        <v>3.29</v>
      </c>
      <c r="K530" s="12">
        <v>3.72</v>
      </c>
      <c r="L530" s="12">
        <f t="shared" si="86"/>
        <v>13.06990881458967</v>
      </c>
      <c r="M530" s="9">
        <v>80.2</v>
      </c>
      <c r="N530" s="9">
        <v>86.4</v>
      </c>
      <c r="O530" s="10">
        <f t="shared" si="96"/>
        <v>7.7306733167082324</v>
      </c>
      <c r="P530" s="11" t="s">
        <v>31</v>
      </c>
      <c r="Q530" s="11" t="s">
        <v>31</v>
      </c>
      <c r="R530" s="33" t="s">
        <v>31</v>
      </c>
      <c r="S530" s="37">
        <f t="shared" si="89"/>
        <v>1.5171958979499742</v>
      </c>
      <c r="T530" s="37">
        <f t="shared" si="90"/>
        <v>2.1162725576296122</v>
      </c>
      <c r="U530" s="42">
        <f t="shared" si="91"/>
        <v>2.9041743682841634</v>
      </c>
      <c r="V530" s="41">
        <f t="shared" si="92"/>
        <v>1.8882173212140905</v>
      </c>
      <c r="W530" s="43" t="e">
        <f t="shared" si="93"/>
        <v>#VALUE!</v>
      </c>
      <c r="X530" s="43" t="e">
        <f t="shared" si="94"/>
        <v>#VALUE!</v>
      </c>
    </row>
    <row r="531" spans="1:24" ht="14" customHeight="1">
      <c r="A531" s="46"/>
      <c r="B531" s="12">
        <v>2.5</v>
      </c>
      <c r="C531" s="12">
        <f t="shared" si="88"/>
        <v>1.25</v>
      </c>
      <c r="D531" s="16" t="s">
        <v>25</v>
      </c>
      <c r="E531" s="12" t="s">
        <v>107</v>
      </c>
      <c r="F531" s="17" t="s">
        <v>34</v>
      </c>
      <c r="G531" s="15" t="s">
        <v>35</v>
      </c>
      <c r="H531" s="17" t="s">
        <v>29</v>
      </c>
      <c r="I531" s="17" t="s">
        <v>36</v>
      </c>
      <c r="J531" s="12">
        <v>3.29</v>
      </c>
      <c r="K531" s="12">
        <v>4.22</v>
      </c>
      <c r="L531" s="12">
        <f t="shared" si="86"/>
        <v>28.267477203647406</v>
      </c>
      <c r="M531" s="9">
        <v>80.2</v>
      </c>
      <c r="N531" s="9">
        <v>86.4</v>
      </c>
      <c r="O531" s="10">
        <f t="shared" si="96"/>
        <v>7.7306733167082324</v>
      </c>
      <c r="P531" s="11" t="s">
        <v>31</v>
      </c>
      <c r="Q531" s="11" t="s">
        <v>31</v>
      </c>
      <c r="R531" s="33" t="s">
        <v>31</v>
      </c>
      <c r="S531" s="37">
        <f t="shared" si="89"/>
        <v>1.5171958979499742</v>
      </c>
      <c r="T531" s="37">
        <f t="shared" si="90"/>
        <v>2.4512870506039608</v>
      </c>
      <c r="U531" s="42">
        <f t="shared" si="91"/>
        <v>2.9041743682841634</v>
      </c>
      <c r="V531" s="41">
        <f t="shared" si="92"/>
        <v>1.8882173212140905</v>
      </c>
      <c r="W531" s="43" t="e">
        <f t="shared" si="93"/>
        <v>#VALUE!</v>
      </c>
      <c r="X531" s="43" t="e">
        <f t="shared" si="94"/>
        <v>#VALUE!</v>
      </c>
    </row>
    <row r="532" spans="1:24" ht="14.25" customHeight="1">
      <c r="A532" s="46"/>
      <c r="B532" s="12">
        <v>5</v>
      </c>
      <c r="C532" s="12">
        <f t="shared" si="88"/>
        <v>2.5</v>
      </c>
      <c r="D532" s="16" t="s">
        <v>25</v>
      </c>
      <c r="E532" s="12" t="s">
        <v>107</v>
      </c>
      <c r="F532" s="17" t="s">
        <v>34</v>
      </c>
      <c r="G532" s="15" t="s">
        <v>37</v>
      </c>
      <c r="H532" s="17" t="s">
        <v>29</v>
      </c>
      <c r="I532" s="17" t="s">
        <v>36</v>
      </c>
      <c r="J532" s="12">
        <v>3.29</v>
      </c>
      <c r="K532" s="12">
        <v>5.04</v>
      </c>
      <c r="L532" s="12">
        <f t="shared" si="86"/>
        <v>53.191489361702125</v>
      </c>
      <c r="M532" s="9">
        <v>80.2</v>
      </c>
      <c r="N532" s="9" t="s">
        <v>31</v>
      </c>
      <c r="O532" s="9" t="s">
        <v>31</v>
      </c>
      <c r="P532" s="11" t="s">
        <v>31</v>
      </c>
      <c r="Q532" s="11" t="s">
        <v>31</v>
      </c>
      <c r="R532" s="33" t="s">
        <v>31</v>
      </c>
      <c r="S532" s="37">
        <f t="shared" si="89"/>
        <v>1.5171958979499742</v>
      </c>
      <c r="T532" s="37">
        <f t="shared" si="90"/>
        <v>2.72584215073632</v>
      </c>
      <c r="U532" s="42">
        <f t="shared" si="91"/>
        <v>2.9041743682841634</v>
      </c>
      <c r="V532" s="41" t="e">
        <f t="shared" si="92"/>
        <v>#VALUE!</v>
      </c>
      <c r="W532" s="43" t="e">
        <f t="shared" si="93"/>
        <v>#VALUE!</v>
      </c>
      <c r="X532" s="43" t="e">
        <f t="shared" si="94"/>
        <v>#VALUE!</v>
      </c>
    </row>
    <row r="533" spans="1:24" ht="14.25" customHeight="1">
      <c r="A533" s="50"/>
      <c r="B533" s="12">
        <v>7.5</v>
      </c>
      <c r="C533" s="12">
        <f t="shared" si="88"/>
        <v>3.75</v>
      </c>
      <c r="D533" s="16" t="s">
        <v>25</v>
      </c>
      <c r="E533" s="12" t="s">
        <v>107</v>
      </c>
      <c r="F533" s="17" t="s">
        <v>34</v>
      </c>
      <c r="G533" s="15" t="s">
        <v>37</v>
      </c>
      <c r="H533" s="17" t="s">
        <v>29</v>
      </c>
      <c r="I533" s="17" t="s">
        <v>36</v>
      </c>
      <c r="J533" s="12">
        <v>3.29</v>
      </c>
      <c r="K533" s="12">
        <v>5.41</v>
      </c>
      <c r="L533" s="12">
        <f t="shared" si="86"/>
        <v>64.437689969604861</v>
      </c>
      <c r="M533" s="9">
        <v>80.2</v>
      </c>
      <c r="N533" s="9" t="s">
        <v>31</v>
      </c>
      <c r="O533" s="9" t="s">
        <v>31</v>
      </c>
      <c r="P533" s="11" t="s">
        <v>31</v>
      </c>
      <c r="Q533" s="11" t="s">
        <v>31</v>
      </c>
      <c r="R533" s="33" t="s">
        <v>31</v>
      </c>
      <c r="S533" s="37">
        <f t="shared" si="89"/>
        <v>1.5171958979499742</v>
      </c>
      <c r="T533" s="37">
        <f t="shared" si="90"/>
        <v>2.8091399629787772</v>
      </c>
      <c r="U533" s="42">
        <f t="shared" si="91"/>
        <v>2.9041743682841634</v>
      </c>
      <c r="V533" s="41" t="e">
        <f t="shared" si="92"/>
        <v>#VALUE!</v>
      </c>
      <c r="W533" s="43" t="e">
        <f t="shared" si="93"/>
        <v>#VALUE!</v>
      </c>
      <c r="X533" s="43" t="e">
        <f t="shared" si="94"/>
        <v>#VALUE!</v>
      </c>
    </row>
    <row r="534" spans="1:24" ht="14.25" customHeight="1">
      <c r="A534" s="45" t="s">
        <v>209</v>
      </c>
      <c r="B534" s="8">
        <v>1</v>
      </c>
      <c r="C534" s="8">
        <f t="shared" si="88"/>
        <v>0.5</v>
      </c>
      <c r="D534" s="16" t="s">
        <v>25</v>
      </c>
      <c r="E534" s="12" t="s">
        <v>98</v>
      </c>
      <c r="F534" s="17" t="s">
        <v>112</v>
      </c>
      <c r="G534" s="15" t="s">
        <v>37</v>
      </c>
      <c r="H534" s="17" t="s">
        <v>29</v>
      </c>
      <c r="I534" s="17" t="s">
        <v>36</v>
      </c>
      <c r="J534" s="8">
        <v>0.18</v>
      </c>
      <c r="K534" s="8">
        <v>0.25</v>
      </c>
      <c r="L534" s="8">
        <f t="shared" si="86"/>
        <v>38.888888888888893</v>
      </c>
      <c r="M534" s="9">
        <v>3.8</v>
      </c>
      <c r="N534" s="9">
        <v>5</v>
      </c>
      <c r="O534" s="10">
        <f t="shared" si="96"/>
        <v>31.578947368421055</v>
      </c>
      <c r="P534" s="11">
        <v>0.68</v>
      </c>
      <c r="Q534" s="11">
        <v>0.55000000000000004</v>
      </c>
      <c r="R534" s="33">
        <f t="shared" si="95"/>
        <v>-19.117647058823529</v>
      </c>
      <c r="S534" s="37">
        <f t="shared" si="89"/>
        <v>0.25527250510330601</v>
      </c>
      <c r="T534" s="37">
        <f t="shared" si="90"/>
        <v>2.5898255349109509</v>
      </c>
      <c r="U534" s="42">
        <f t="shared" si="91"/>
        <v>1.5797835966168101</v>
      </c>
      <c r="V534" s="41">
        <f t="shared" si="92"/>
        <v>2.4993976494308145</v>
      </c>
      <c r="W534" s="43">
        <f t="shared" si="93"/>
        <v>0.83250891270623639</v>
      </c>
      <c r="X534" s="43" t="e">
        <f t="shared" si="94"/>
        <v>#NUM!</v>
      </c>
    </row>
    <row r="535" spans="1:24" ht="14.25" customHeight="1">
      <c r="A535" s="49"/>
      <c r="B535" s="8">
        <v>3</v>
      </c>
      <c r="C535" s="8">
        <f t="shared" si="88"/>
        <v>1.5</v>
      </c>
      <c r="D535" s="16" t="s">
        <v>25</v>
      </c>
      <c r="E535" s="12" t="s">
        <v>98</v>
      </c>
      <c r="F535" s="17" t="s">
        <v>112</v>
      </c>
      <c r="G535" s="15" t="s">
        <v>37</v>
      </c>
      <c r="H535" s="17" t="s">
        <v>29</v>
      </c>
      <c r="I535" s="17" t="s">
        <v>36</v>
      </c>
      <c r="J535" s="8">
        <v>0.18</v>
      </c>
      <c r="K535" s="8">
        <v>0.35</v>
      </c>
      <c r="L535" s="8">
        <f t="shared" si="86"/>
        <v>94.444444444444443</v>
      </c>
      <c r="M535" s="9">
        <v>3.8</v>
      </c>
      <c r="N535" s="9">
        <v>6.2</v>
      </c>
      <c r="O535" s="10">
        <f t="shared" si="96"/>
        <v>63.15789473684211</v>
      </c>
      <c r="P535" s="11">
        <v>0.68</v>
      </c>
      <c r="Q535" s="11">
        <v>0.38</v>
      </c>
      <c r="R535" s="33">
        <f t="shared" si="95"/>
        <v>-44.117647058823536</v>
      </c>
      <c r="S535" s="37">
        <f t="shared" si="89"/>
        <v>0.25527250510330601</v>
      </c>
      <c r="T535" s="37">
        <f t="shared" si="90"/>
        <v>2.9751764162749677</v>
      </c>
      <c r="U535" s="42">
        <f t="shared" si="91"/>
        <v>1.5797835966168101</v>
      </c>
      <c r="V535" s="41">
        <f t="shared" si="92"/>
        <v>2.8004276450947958</v>
      </c>
      <c r="W535" s="43">
        <f t="shared" si="93"/>
        <v>0.83250891270623639</v>
      </c>
      <c r="X535" s="43" t="e">
        <f t="shared" si="94"/>
        <v>#NUM!</v>
      </c>
    </row>
    <row r="536" spans="1:24" ht="14.25" customHeight="1">
      <c r="A536" s="49"/>
      <c r="B536" s="8">
        <v>6</v>
      </c>
      <c r="C536" s="8">
        <f t="shared" si="88"/>
        <v>3</v>
      </c>
      <c r="D536" s="16" t="s">
        <v>25</v>
      </c>
      <c r="E536" s="12" t="s">
        <v>98</v>
      </c>
      <c r="F536" s="17" t="s">
        <v>112</v>
      </c>
      <c r="G536" s="15" t="s">
        <v>37</v>
      </c>
      <c r="H536" s="17" t="s">
        <v>29</v>
      </c>
      <c r="I536" s="17" t="s">
        <v>36</v>
      </c>
      <c r="J536" s="8">
        <v>0.18</v>
      </c>
      <c r="K536" s="8">
        <v>0.47</v>
      </c>
      <c r="L536" s="8">
        <f t="shared" si="86"/>
        <v>161.11111111111111</v>
      </c>
      <c r="M536" s="9">
        <v>3.8</v>
      </c>
      <c r="N536" s="9">
        <v>7.2</v>
      </c>
      <c r="O536" s="10">
        <f t="shared" si="96"/>
        <v>89.473684210526329</v>
      </c>
      <c r="P536" s="11">
        <v>0.68</v>
      </c>
      <c r="Q536" s="11">
        <v>0.25</v>
      </c>
      <c r="R536" s="33">
        <f t="shared" si="95"/>
        <v>-63.235294117647058</v>
      </c>
      <c r="S536" s="37">
        <f t="shared" si="89"/>
        <v>0.25527250510330601</v>
      </c>
      <c r="T536" s="37">
        <f t="shared" si="90"/>
        <v>3.2071254927956501</v>
      </c>
      <c r="U536" s="42">
        <f t="shared" si="91"/>
        <v>1.5797835966168101</v>
      </c>
      <c r="V536" s="41">
        <f t="shared" si="92"/>
        <v>2.9516953204254452</v>
      </c>
      <c r="W536" s="43">
        <f t="shared" si="93"/>
        <v>0.83250891270623639</v>
      </c>
      <c r="X536" s="43" t="e">
        <f t="shared" si="94"/>
        <v>#NUM!</v>
      </c>
    </row>
    <row r="537" spans="1:24" ht="14.25" customHeight="1">
      <c r="A537" s="49"/>
      <c r="B537" s="8">
        <v>1</v>
      </c>
      <c r="C537" s="8">
        <f t="shared" si="88"/>
        <v>0.5</v>
      </c>
      <c r="D537" s="16" t="s">
        <v>25</v>
      </c>
      <c r="E537" s="12" t="s">
        <v>98</v>
      </c>
      <c r="F537" s="17" t="s">
        <v>112</v>
      </c>
      <c r="G537" s="15" t="s">
        <v>52</v>
      </c>
      <c r="H537" s="17" t="s">
        <v>29</v>
      </c>
      <c r="I537" s="17" t="s">
        <v>36</v>
      </c>
      <c r="J537" s="8">
        <v>0.61</v>
      </c>
      <c r="K537" s="8">
        <v>0.76</v>
      </c>
      <c r="L537" s="8">
        <f t="shared" si="86"/>
        <v>24.590163934426236</v>
      </c>
      <c r="M537" s="9">
        <v>15.6</v>
      </c>
      <c r="N537" s="9">
        <v>18.5</v>
      </c>
      <c r="O537" s="10">
        <f t="shared" si="96"/>
        <v>18.589743589743595</v>
      </c>
      <c r="P537" s="11">
        <v>7.9</v>
      </c>
      <c r="Q537" s="11">
        <v>6.5</v>
      </c>
      <c r="R537" s="33">
        <f t="shared" si="95"/>
        <v>-17.721518987341774</v>
      </c>
      <c r="S537" s="37">
        <f t="shared" si="89"/>
        <v>0.78532983501076703</v>
      </c>
      <c r="T537" s="37">
        <f t="shared" si="90"/>
        <v>2.3907614240449142</v>
      </c>
      <c r="U537" s="42">
        <f t="shared" si="91"/>
        <v>2.1931245983544616</v>
      </c>
      <c r="V537" s="41">
        <f t="shared" si="92"/>
        <v>2.2692733995444945</v>
      </c>
      <c r="W537" s="43">
        <f t="shared" si="93"/>
        <v>1.8976270912904414</v>
      </c>
      <c r="X537" s="43" t="e">
        <f t="shared" si="94"/>
        <v>#NUM!</v>
      </c>
    </row>
    <row r="538" spans="1:24" ht="14.25" customHeight="1">
      <c r="A538" s="49"/>
      <c r="B538" s="8">
        <v>2</v>
      </c>
      <c r="C538" s="8">
        <f t="shared" si="88"/>
        <v>1</v>
      </c>
      <c r="D538" s="16" t="s">
        <v>25</v>
      </c>
      <c r="E538" s="12" t="s">
        <v>98</v>
      </c>
      <c r="F538" s="17" t="s">
        <v>112</v>
      </c>
      <c r="G538" s="15" t="s">
        <v>52</v>
      </c>
      <c r="H538" s="17" t="s">
        <v>29</v>
      </c>
      <c r="I538" s="17" t="s">
        <v>36</v>
      </c>
      <c r="J538" s="8">
        <v>0.61</v>
      </c>
      <c r="K538" s="8">
        <v>0.85</v>
      </c>
      <c r="L538" s="8">
        <f t="shared" si="86"/>
        <v>39.344262295081968</v>
      </c>
      <c r="M538" s="9">
        <v>15.6</v>
      </c>
      <c r="N538" s="9">
        <v>19.5</v>
      </c>
      <c r="O538" s="10">
        <f t="shared" si="96"/>
        <v>25.000000000000007</v>
      </c>
      <c r="P538" s="11">
        <v>7.9</v>
      </c>
      <c r="Q538" s="11">
        <v>5.2</v>
      </c>
      <c r="R538" s="33">
        <f t="shared" si="95"/>
        <v>-34.177215189873415</v>
      </c>
      <c r="S538" s="37">
        <f t="shared" si="89"/>
        <v>0.78532983501076703</v>
      </c>
      <c r="T538" s="37">
        <f t="shared" si="90"/>
        <v>2.5948814067008388</v>
      </c>
      <c r="U538" s="42">
        <f t="shared" si="91"/>
        <v>2.1931245983544616</v>
      </c>
      <c r="V538" s="41">
        <f t="shared" si="92"/>
        <v>2.3979400086720375</v>
      </c>
      <c r="W538" s="43">
        <f t="shared" si="93"/>
        <v>1.8976270912904414</v>
      </c>
      <c r="X538" s="43" t="e">
        <f t="shared" si="94"/>
        <v>#NUM!</v>
      </c>
    </row>
    <row r="539" spans="1:24" ht="14.25" customHeight="1">
      <c r="A539" s="50"/>
      <c r="B539" s="8">
        <v>5</v>
      </c>
      <c r="C539" s="8">
        <f t="shared" si="88"/>
        <v>2.5</v>
      </c>
      <c r="D539" s="16" t="s">
        <v>25</v>
      </c>
      <c r="E539" s="12" t="s">
        <v>98</v>
      </c>
      <c r="F539" s="17" t="s">
        <v>112</v>
      </c>
      <c r="G539" s="15" t="s">
        <v>52</v>
      </c>
      <c r="H539" s="17" t="s">
        <v>29</v>
      </c>
      <c r="I539" s="17" t="s">
        <v>36</v>
      </c>
      <c r="J539" s="8">
        <v>0.61</v>
      </c>
      <c r="K539" s="8">
        <v>0.98</v>
      </c>
      <c r="L539" s="8">
        <f t="shared" si="86"/>
        <v>60.655737704918032</v>
      </c>
      <c r="M539" s="9">
        <v>15.6</v>
      </c>
      <c r="N539" s="9">
        <v>20.9</v>
      </c>
      <c r="O539" s="10">
        <f t="shared" si="96"/>
        <v>33.974358974358971</v>
      </c>
      <c r="P539" s="11">
        <v>7.9</v>
      </c>
      <c r="Q539" s="11">
        <v>2.5</v>
      </c>
      <c r="R539" s="33">
        <f t="shared" si="95"/>
        <v>-68.35443037974683</v>
      </c>
      <c r="S539" s="37">
        <f t="shared" si="89"/>
        <v>0.78532983501076703</v>
      </c>
      <c r="T539" s="37">
        <f t="shared" si="90"/>
        <v>2.7828718890562278</v>
      </c>
      <c r="U539" s="42">
        <f t="shared" si="91"/>
        <v>2.1931245983544616</v>
      </c>
      <c r="V539" s="41">
        <f t="shared" si="92"/>
        <v>2.5311512712463275</v>
      </c>
      <c r="W539" s="43">
        <f t="shared" si="93"/>
        <v>1.8976270912904414</v>
      </c>
      <c r="X539" s="43" t="e">
        <f t="shared" si="94"/>
        <v>#NUM!</v>
      </c>
    </row>
    <row r="540" spans="1:24" ht="14.25" customHeight="1">
      <c r="A540" s="45" t="s">
        <v>210</v>
      </c>
      <c r="B540" s="8">
        <v>1</v>
      </c>
      <c r="C540" s="8">
        <f t="shared" si="88"/>
        <v>0.5</v>
      </c>
      <c r="D540" s="16" t="s">
        <v>25</v>
      </c>
      <c r="E540" s="12" t="s">
        <v>211</v>
      </c>
      <c r="F540" s="17" t="s">
        <v>112</v>
      </c>
      <c r="G540" s="17" t="s">
        <v>212</v>
      </c>
      <c r="H540" s="17" t="s">
        <v>29</v>
      </c>
      <c r="I540" s="17" t="s">
        <v>36</v>
      </c>
      <c r="J540" s="8">
        <v>2.4500000000000002</v>
      </c>
      <c r="K540" s="8">
        <v>2.7</v>
      </c>
      <c r="L540" s="8">
        <f t="shared" si="86"/>
        <v>10.204081632653059</v>
      </c>
      <c r="M540" s="9">
        <v>48.8</v>
      </c>
      <c r="N540" s="9">
        <v>57</v>
      </c>
      <c r="O540" s="10">
        <f t="shared" si="96"/>
        <v>16.803278688524596</v>
      </c>
      <c r="P540" s="11">
        <v>3.75</v>
      </c>
      <c r="Q540" s="11">
        <v>3.5</v>
      </c>
      <c r="R540" s="33">
        <f t="shared" si="95"/>
        <v>-6.666666666666667</v>
      </c>
      <c r="S540" s="37">
        <f t="shared" si="89"/>
        <v>1.3891660843645324</v>
      </c>
      <c r="T540" s="37">
        <f t="shared" si="90"/>
        <v>2.0087739243075049</v>
      </c>
      <c r="U540" s="42">
        <f t="shared" si="91"/>
        <v>2.6884198220027105</v>
      </c>
      <c r="V540" s="41">
        <f t="shared" si="92"/>
        <v>2.2253940303810062</v>
      </c>
      <c r="W540" s="43">
        <f t="shared" si="93"/>
        <v>1.5740312677277188</v>
      </c>
      <c r="X540" s="43" t="e">
        <f t="shared" si="94"/>
        <v>#NUM!</v>
      </c>
    </row>
    <row r="541" spans="1:24" ht="14.25" customHeight="1">
      <c r="A541" s="49"/>
      <c r="B541" s="8">
        <v>2</v>
      </c>
      <c r="C541" s="8">
        <f t="shared" si="88"/>
        <v>1</v>
      </c>
      <c r="D541" s="16" t="s">
        <v>25</v>
      </c>
      <c r="E541" s="12" t="s">
        <v>211</v>
      </c>
      <c r="F541" s="17" t="s">
        <v>112</v>
      </c>
      <c r="G541" s="17" t="s">
        <v>212</v>
      </c>
      <c r="H541" s="17" t="s">
        <v>29</v>
      </c>
      <c r="I541" s="17" t="s">
        <v>36</v>
      </c>
      <c r="J541" s="8">
        <v>2.4500000000000002</v>
      </c>
      <c r="K541" s="8">
        <v>2.76</v>
      </c>
      <c r="L541" s="8">
        <f t="shared" si="86"/>
        <v>12.653061224489779</v>
      </c>
      <c r="M541" s="9">
        <v>48.8</v>
      </c>
      <c r="N541" s="9">
        <v>55</v>
      </c>
      <c r="O541" s="10">
        <f t="shared" si="96"/>
        <v>12.704918032786891</v>
      </c>
      <c r="P541" s="11">
        <v>3.75</v>
      </c>
      <c r="Q541" s="11">
        <v>3.2</v>
      </c>
      <c r="R541" s="33">
        <f t="shared" si="95"/>
        <v>-14.666666666666661</v>
      </c>
      <c r="S541" s="37">
        <f t="shared" si="89"/>
        <v>1.3891660843645324</v>
      </c>
      <c r="T541" s="37">
        <f t="shared" si="90"/>
        <v>2.1021956094697396</v>
      </c>
      <c r="U541" s="42">
        <f t="shared" si="91"/>
        <v>2.6884198220027105</v>
      </c>
      <c r="V541" s="41">
        <f t="shared" si="92"/>
        <v>2.1039718674955434</v>
      </c>
      <c r="W541" s="43">
        <f t="shared" si="93"/>
        <v>1.5740312677277188</v>
      </c>
      <c r="X541" s="43" t="e">
        <f t="shared" si="94"/>
        <v>#NUM!</v>
      </c>
    </row>
    <row r="542" spans="1:24" ht="14.25" customHeight="1">
      <c r="A542" s="49"/>
      <c r="B542" s="8">
        <v>5</v>
      </c>
      <c r="C542" s="8">
        <f t="shared" si="88"/>
        <v>2.5</v>
      </c>
      <c r="D542" s="16" t="s">
        <v>25</v>
      </c>
      <c r="E542" s="12" t="s">
        <v>211</v>
      </c>
      <c r="F542" s="17" t="s">
        <v>112</v>
      </c>
      <c r="G542" s="17" t="s">
        <v>212</v>
      </c>
      <c r="H542" s="17" t="s">
        <v>29</v>
      </c>
      <c r="I542" s="17" t="s">
        <v>36</v>
      </c>
      <c r="J542" s="8">
        <v>2.4500000000000002</v>
      </c>
      <c r="K542" s="8">
        <v>2.89</v>
      </c>
      <c r="L542" s="8">
        <f t="shared" si="86"/>
        <v>17.959183673469383</v>
      </c>
      <c r="M542" s="9">
        <v>48.8</v>
      </c>
      <c r="N542" s="9">
        <v>53</v>
      </c>
      <c r="O542" s="10">
        <f t="shared" si="96"/>
        <v>8.606557377049187</v>
      </c>
      <c r="P542" s="11">
        <v>3.75</v>
      </c>
      <c r="Q542" s="11">
        <v>2.8</v>
      </c>
      <c r="R542" s="33">
        <f t="shared" si="95"/>
        <v>-25.333333333333336</v>
      </c>
      <c r="S542" s="37">
        <f t="shared" si="89"/>
        <v>1.3891660843645324</v>
      </c>
      <c r="T542" s="37">
        <f t="shared" si="90"/>
        <v>2.2542865921216548</v>
      </c>
      <c r="U542" s="42">
        <f t="shared" si="91"/>
        <v>2.6884198220027105</v>
      </c>
      <c r="V542" s="41">
        <f t="shared" si="92"/>
        <v>1.9348294683951901</v>
      </c>
      <c r="W542" s="43">
        <f t="shared" si="93"/>
        <v>1.5740312677277188</v>
      </c>
      <c r="X542" s="43" t="e">
        <f t="shared" si="94"/>
        <v>#NUM!</v>
      </c>
    </row>
    <row r="543" spans="1:24" ht="14.25" customHeight="1">
      <c r="A543" s="49"/>
      <c r="B543" s="8">
        <v>1</v>
      </c>
      <c r="C543" s="8">
        <f t="shared" si="88"/>
        <v>0.5</v>
      </c>
      <c r="D543" s="16" t="s">
        <v>25</v>
      </c>
      <c r="E543" s="12" t="s">
        <v>211</v>
      </c>
      <c r="F543" s="17" t="s">
        <v>112</v>
      </c>
      <c r="G543" s="17" t="s">
        <v>212</v>
      </c>
      <c r="H543" s="17" t="s">
        <v>29</v>
      </c>
      <c r="I543" s="17" t="s">
        <v>36</v>
      </c>
      <c r="J543" s="8">
        <v>2.4500000000000002</v>
      </c>
      <c r="K543" s="8">
        <v>2.7</v>
      </c>
      <c r="L543" s="8">
        <f t="shared" si="86"/>
        <v>10.204081632653059</v>
      </c>
      <c r="M543" s="9">
        <v>49</v>
      </c>
      <c r="N543" s="9">
        <v>62.3</v>
      </c>
      <c r="O543" s="10">
        <f t="shared" si="96"/>
        <v>27.142857142857135</v>
      </c>
      <c r="P543" s="11">
        <v>3.75</v>
      </c>
      <c r="Q543" s="11">
        <v>3.5</v>
      </c>
      <c r="R543" s="33">
        <f t="shared" si="95"/>
        <v>-6.666666666666667</v>
      </c>
      <c r="S543" s="37">
        <f t="shared" si="89"/>
        <v>1.3891660843645324</v>
      </c>
      <c r="T543" s="37">
        <f t="shared" si="90"/>
        <v>2.0087739243075049</v>
      </c>
      <c r="U543" s="42">
        <f t="shared" si="91"/>
        <v>2.6901960800285138</v>
      </c>
      <c r="V543" s="41">
        <f t="shared" si="92"/>
        <v>2.4336555609385719</v>
      </c>
      <c r="W543" s="43">
        <f t="shared" si="93"/>
        <v>1.5740312677277188</v>
      </c>
      <c r="X543" s="43" t="e">
        <f t="shared" si="94"/>
        <v>#NUM!</v>
      </c>
    </row>
    <row r="544" spans="1:24" ht="14.25" customHeight="1">
      <c r="A544" s="49"/>
      <c r="B544" s="8">
        <v>2</v>
      </c>
      <c r="C544" s="8">
        <f t="shared" si="88"/>
        <v>1</v>
      </c>
      <c r="D544" s="16" t="s">
        <v>25</v>
      </c>
      <c r="E544" s="12" t="s">
        <v>211</v>
      </c>
      <c r="F544" s="17" t="s">
        <v>112</v>
      </c>
      <c r="G544" s="17" t="s">
        <v>212</v>
      </c>
      <c r="H544" s="17" t="s">
        <v>29</v>
      </c>
      <c r="I544" s="17" t="s">
        <v>36</v>
      </c>
      <c r="J544" s="8">
        <v>2.4500000000000002</v>
      </c>
      <c r="K544" s="8">
        <v>2.76</v>
      </c>
      <c r="L544" s="8">
        <f t="shared" ref="L544:L584" si="97">(K544-J544)/J544*100</f>
        <v>12.653061224489779</v>
      </c>
      <c r="M544" s="9">
        <v>49</v>
      </c>
      <c r="N544" s="9">
        <v>58</v>
      </c>
      <c r="O544" s="10">
        <f t="shared" si="96"/>
        <v>18.367346938775512</v>
      </c>
      <c r="P544" s="11">
        <v>3.75</v>
      </c>
      <c r="Q544" s="11">
        <v>3.2</v>
      </c>
      <c r="R544" s="33">
        <f t="shared" si="95"/>
        <v>-14.666666666666661</v>
      </c>
      <c r="S544" s="37">
        <f t="shared" si="89"/>
        <v>1.3891660843645324</v>
      </c>
      <c r="T544" s="37">
        <f t="shared" si="90"/>
        <v>2.1021956094697396</v>
      </c>
      <c r="U544" s="42">
        <f t="shared" si="91"/>
        <v>2.6901960800285138</v>
      </c>
      <c r="V544" s="41">
        <f t="shared" si="92"/>
        <v>2.2640464294108114</v>
      </c>
      <c r="W544" s="43">
        <f t="shared" si="93"/>
        <v>1.5740312677277188</v>
      </c>
      <c r="X544" s="43" t="e">
        <f t="shared" si="94"/>
        <v>#NUM!</v>
      </c>
    </row>
    <row r="545" spans="1:24" ht="14.25" customHeight="1">
      <c r="A545" s="50"/>
      <c r="B545" s="8">
        <v>5</v>
      </c>
      <c r="C545" s="8">
        <f t="shared" si="88"/>
        <v>2.5</v>
      </c>
      <c r="D545" s="16" t="s">
        <v>25</v>
      </c>
      <c r="E545" s="12" t="s">
        <v>211</v>
      </c>
      <c r="F545" s="17" t="s">
        <v>112</v>
      </c>
      <c r="G545" s="17" t="s">
        <v>212</v>
      </c>
      <c r="H545" s="17" t="s">
        <v>29</v>
      </c>
      <c r="I545" s="17" t="s">
        <v>36</v>
      </c>
      <c r="J545" s="8">
        <v>2.4500000000000002</v>
      </c>
      <c r="K545" s="8">
        <v>2.89</v>
      </c>
      <c r="L545" s="8">
        <f t="shared" si="97"/>
        <v>17.959183673469383</v>
      </c>
      <c r="M545" s="9">
        <v>49</v>
      </c>
      <c r="N545" s="9">
        <v>53</v>
      </c>
      <c r="O545" s="10">
        <f t="shared" si="96"/>
        <v>8.1632653061224492</v>
      </c>
      <c r="P545" s="11">
        <v>3.75</v>
      </c>
      <c r="Q545" s="11">
        <v>2.8</v>
      </c>
      <c r="R545" s="33">
        <f t="shared" si="95"/>
        <v>-25.333333333333336</v>
      </c>
      <c r="S545" s="37">
        <f t="shared" si="89"/>
        <v>1.3891660843645324</v>
      </c>
      <c r="T545" s="37">
        <f t="shared" si="90"/>
        <v>2.2542865921216548</v>
      </c>
      <c r="U545" s="42">
        <f t="shared" si="91"/>
        <v>2.6901960800285138</v>
      </c>
      <c r="V545" s="41">
        <f t="shared" si="92"/>
        <v>1.9118639112994487</v>
      </c>
      <c r="W545" s="43">
        <f t="shared" si="93"/>
        <v>1.5740312677277188</v>
      </c>
      <c r="X545" s="43" t="e">
        <f t="shared" si="94"/>
        <v>#NUM!</v>
      </c>
    </row>
    <row r="546" spans="1:24" ht="14.25" customHeight="1">
      <c r="A546" s="23" t="s">
        <v>213</v>
      </c>
      <c r="B546" s="8">
        <v>5</v>
      </c>
      <c r="C546" s="8">
        <f t="shared" si="88"/>
        <v>2.5</v>
      </c>
      <c r="D546" s="16" t="s">
        <v>42</v>
      </c>
      <c r="E546" s="12" t="s">
        <v>85</v>
      </c>
      <c r="F546" s="17" t="s">
        <v>34</v>
      </c>
      <c r="G546" s="17" t="s">
        <v>214</v>
      </c>
      <c r="H546" s="17" t="s">
        <v>54</v>
      </c>
      <c r="I546" s="17" t="s">
        <v>215</v>
      </c>
      <c r="J546" s="8">
        <v>4.2</v>
      </c>
      <c r="K546" s="8">
        <v>5.04</v>
      </c>
      <c r="L546" s="8">
        <f t="shared" si="97"/>
        <v>19.999999999999996</v>
      </c>
      <c r="M546" s="9" t="s">
        <v>31</v>
      </c>
      <c r="N546" s="9" t="s">
        <v>31</v>
      </c>
      <c r="O546" s="9" t="s">
        <v>31</v>
      </c>
      <c r="P546" s="11" t="s">
        <v>31</v>
      </c>
      <c r="Q546" s="11" t="s">
        <v>31</v>
      </c>
      <c r="R546" s="33" t="s">
        <v>31</v>
      </c>
      <c r="S546" s="37">
        <f t="shared" si="89"/>
        <v>1.6232492903979006</v>
      </c>
      <c r="T546" s="37">
        <f t="shared" si="90"/>
        <v>2.3010299956639813</v>
      </c>
      <c r="U546" s="42" t="e">
        <f t="shared" si="91"/>
        <v>#VALUE!</v>
      </c>
      <c r="V546" s="41" t="e">
        <f t="shared" si="92"/>
        <v>#VALUE!</v>
      </c>
      <c r="W546" s="43" t="e">
        <f t="shared" si="93"/>
        <v>#VALUE!</v>
      </c>
      <c r="X546" s="43" t="e">
        <f t="shared" si="94"/>
        <v>#VALUE!</v>
      </c>
    </row>
    <row r="547" spans="1:24" ht="14.25" customHeight="1">
      <c r="A547" s="45" t="s">
        <v>216</v>
      </c>
      <c r="B547" s="8">
        <v>1</v>
      </c>
      <c r="C547" s="8">
        <f t="shared" si="88"/>
        <v>0.5</v>
      </c>
      <c r="D547" s="16" t="s">
        <v>42</v>
      </c>
      <c r="E547" s="12" t="s">
        <v>80</v>
      </c>
      <c r="F547" s="17" t="s">
        <v>34</v>
      </c>
      <c r="G547" s="17" t="s">
        <v>217</v>
      </c>
      <c r="H547" s="17" t="s">
        <v>29</v>
      </c>
      <c r="I547" s="17" t="s">
        <v>36</v>
      </c>
      <c r="J547" s="8">
        <v>2.2999999999999998</v>
      </c>
      <c r="K547" s="8">
        <v>2.5</v>
      </c>
      <c r="L547" s="8">
        <f t="shared" si="97"/>
        <v>8.6956521739130519</v>
      </c>
      <c r="M547" s="9" t="s">
        <v>31</v>
      </c>
      <c r="N547" s="9" t="s">
        <v>31</v>
      </c>
      <c r="O547" s="9" t="s">
        <v>31</v>
      </c>
      <c r="P547" s="11" t="s">
        <v>31</v>
      </c>
      <c r="Q547" s="11" t="s">
        <v>31</v>
      </c>
      <c r="R547" s="33" t="s">
        <v>31</v>
      </c>
      <c r="S547" s="37">
        <f t="shared" si="89"/>
        <v>1.3617278360175928</v>
      </c>
      <c r="T547" s="37">
        <f t="shared" si="90"/>
        <v>1.9393021596463889</v>
      </c>
      <c r="U547" s="42" t="e">
        <f t="shared" si="91"/>
        <v>#VALUE!</v>
      </c>
      <c r="V547" s="41" t="e">
        <f t="shared" si="92"/>
        <v>#VALUE!</v>
      </c>
      <c r="W547" s="43" t="e">
        <f t="shared" si="93"/>
        <v>#VALUE!</v>
      </c>
      <c r="X547" s="43" t="e">
        <f t="shared" si="94"/>
        <v>#VALUE!</v>
      </c>
    </row>
    <row r="548" spans="1:24" ht="14.25" customHeight="1">
      <c r="A548" s="49"/>
      <c r="B548" s="8">
        <v>3</v>
      </c>
      <c r="C548" s="8">
        <f t="shared" si="88"/>
        <v>1.5</v>
      </c>
      <c r="D548" s="16" t="s">
        <v>42</v>
      </c>
      <c r="E548" s="12" t="s">
        <v>80</v>
      </c>
      <c r="F548" s="17" t="s">
        <v>34</v>
      </c>
      <c r="G548" s="17" t="s">
        <v>217</v>
      </c>
      <c r="H548" s="17" t="s">
        <v>29</v>
      </c>
      <c r="I548" s="17" t="s">
        <v>36</v>
      </c>
      <c r="J548" s="8">
        <v>2.2999999999999998</v>
      </c>
      <c r="K548" s="8">
        <v>3.2</v>
      </c>
      <c r="L548" s="8">
        <f t="shared" si="97"/>
        <v>39.130434782608717</v>
      </c>
      <c r="M548" s="9" t="s">
        <v>31</v>
      </c>
      <c r="N548" s="9" t="s">
        <v>31</v>
      </c>
      <c r="O548" s="9" t="s">
        <v>31</v>
      </c>
      <c r="P548" s="11" t="s">
        <v>31</v>
      </c>
      <c r="Q548" s="11" t="s">
        <v>31</v>
      </c>
      <c r="R548" s="33" t="s">
        <v>31</v>
      </c>
      <c r="S548" s="37">
        <f t="shared" si="89"/>
        <v>1.3617278360175928</v>
      </c>
      <c r="T548" s="37">
        <f t="shared" si="90"/>
        <v>2.5925146734217321</v>
      </c>
      <c r="U548" s="42" t="e">
        <f t="shared" si="91"/>
        <v>#VALUE!</v>
      </c>
      <c r="V548" s="41" t="e">
        <f t="shared" si="92"/>
        <v>#VALUE!</v>
      </c>
      <c r="W548" s="43" t="e">
        <f t="shared" si="93"/>
        <v>#VALUE!</v>
      </c>
      <c r="X548" s="43" t="e">
        <f t="shared" si="94"/>
        <v>#VALUE!</v>
      </c>
    </row>
    <row r="549" spans="1:24" ht="14.25" customHeight="1">
      <c r="A549" s="50"/>
      <c r="B549" s="8">
        <v>5</v>
      </c>
      <c r="C549" s="8">
        <f t="shared" si="88"/>
        <v>2.5</v>
      </c>
      <c r="D549" s="16" t="s">
        <v>42</v>
      </c>
      <c r="E549" s="12" t="s">
        <v>80</v>
      </c>
      <c r="F549" s="17" t="s">
        <v>34</v>
      </c>
      <c r="G549" s="17" t="s">
        <v>217</v>
      </c>
      <c r="H549" s="17" t="s">
        <v>29</v>
      </c>
      <c r="I549" s="17" t="s">
        <v>36</v>
      </c>
      <c r="J549" s="8">
        <v>2.2999999999999998</v>
      </c>
      <c r="K549" s="8">
        <v>4.1399999999999997</v>
      </c>
      <c r="L549" s="8">
        <f t="shared" si="97"/>
        <v>80</v>
      </c>
      <c r="M549" s="9" t="s">
        <v>31</v>
      </c>
      <c r="N549" s="9" t="s">
        <v>31</v>
      </c>
      <c r="O549" s="9" t="s">
        <v>31</v>
      </c>
      <c r="P549" s="11" t="s">
        <v>31</v>
      </c>
      <c r="Q549" s="11" t="s">
        <v>31</v>
      </c>
      <c r="R549" s="33" t="s">
        <v>31</v>
      </c>
      <c r="S549" s="37">
        <f t="shared" si="89"/>
        <v>1.3617278360175928</v>
      </c>
      <c r="T549" s="37">
        <f t="shared" si="90"/>
        <v>2.9030899869919438</v>
      </c>
      <c r="U549" s="42" t="e">
        <f t="shared" si="91"/>
        <v>#VALUE!</v>
      </c>
      <c r="V549" s="41" t="e">
        <f t="shared" si="92"/>
        <v>#VALUE!</v>
      </c>
      <c r="W549" s="43" t="e">
        <f t="shared" si="93"/>
        <v>#VALUE!</v>
      </c>
      <c r="X549" s="43" t="e">
        <f t="shared" si="94"/>
        <v>#VALUE!</v>
      </c>
    </row>
    <row r="550" spans="1:24" ht="14.25" customHeight="1">
      <c r="A550" s="45" t="s">
        <v>218</v>
      </c>
      <c r="B550" s="8">
        <v>1</v>
      </c>
      <c r="C550" s="8">
        <f t="shared" si="88"/>
        <v>0.5</v>
      </c>
      <c r="D550" s="16" t="s">
        <v>25</v>
      </c>
      <c r="E550" s="12" t="s">
        <v>219</v>
      </c>
      <c r="F550" s="17" t="s">
        <v>34</v>
      </c>
      <c r="G550" s="17" t="s">
        <v>35</v>
      </c>
      <c r="H550" s="17" t="s">
        <v>29</v>
      </c>
      <c r="I550" s="17" t="s">
        <v>36</v>
      </c>
      <c r="J550" s="8">
        <v>1.39</v>
      </c>
      <c r="K550" s="8">
        <v>1.5289999999999999</v>
      </c>
      <c r="L550" s="8">
        <f t="shared" si="97"/>
        <v>10.000000000000002</v>
      </c>
      <c r="M550" s="9">
        <v>33</v>
      </c>
      <c r="N550" s="9">
        <v>23.5</v>
      </c>
      <c r="O550" s="10">
        <f t="shared" si="96"/>
        <v>-28.787878787878789</v>
      </c>
      <c r="P550" s="11">
        <v>174.2</v>
      </c>
      <c r="Q550" s="11">
        <v>70.099999999999994</v>
      </c>
      <c r="R550" s="33">
        <f t="shared" si="95"/>
        <v>-59.758897818599308</v>
      </c>
      <c r="S550" s="37">
        <f t="shared" si="89"/>
        <v>1.143014800254095</v>
      </c>
      <c r="T550" s="37">
        <f t="shared" si="90"/>
        <v>2</v>
      </c>
      <c r="U550" s="42">
        <f t="shared" si="91"/>
        <v>2.5185139398778875</v>
      </c>
      <c r="V550" s="41" t="e">
        <f t="shared" si="92"/>
        <v>#NUM!</v>
      </c>
      <c r="W550" s="43">
        <f t="shared" si="93"/>
        <v>3.2410481506716442</v>
      </c>
      <c r="X550" s="43" t="e">
        <f t="shared" si="94"/>
        <v>#NUM!</v>
      </c>
    </row>
    <row r="551" spans="1:24" ht="14.25" customHeight="1">
      <c r="A551" s="46"/>
      <c r="B551" s="8">
        <v>3</v>
      </c>
      <c r="C551" s="8">
        <f t="shared" si="88"/>
        <v>1.5</v>
      </c>
      <c r="D551" s="16" t="s">
        <v>25</v>
      </c>
      <c r="E551" s="12" t="s">
        <v>219</v>
      </c>
      <c r="F551" s="17" t="s">
        <v>34</v>
      </c>
      <c r="G551" s="17" t="s">
        <v>35</v>
      </c>
      <c r="H551" s="17" t="s">
        <v>29</v>
      </c>
      <c r="I551" s="17" t="s">
        <v>36</v>
      </c>
      <c r="J551" s="8">
        <v>1.39</v>
      </c>
      <c r="K551" s="8">
        <v>1.7190000000000001</v>
      </c>
      <c r="L551" s="8">
        <f t="shared" si="97"/>
        <v>23.669064748201453</v>
      </c>
      <c r="M551" s="9">
        <v>33</v>
      </c>
      <c r="N551" s="9">
        <v>24.2</v>
      </c>
      <c r="O551" s="10">
        <f t="shared" si="96"/>
        <v>-26.666666666666668</v>
      </c>
      <c r="P551" s="11">
        <v>174.2</v>
      </c>
      <c r="Q551" s="11">
        <v>10.1</v>
      </c>
      <c r="R551" s="33">
        <f t="shared" si="95"/>
        <v>-94.202066590126293</v>
      </c>
      <c r="S551" s="37">
        <f t="shared" si="89"/>
        <v>1.143014800254095</v>
      </c>
      <c r="T551" s="37">
        <f t="shared" si="90"/>
        <v>2.3741810976958795</v>
      </c>
      <c r="U551" s="42">
        <f t="shared" si="91"/>
        <v>2.5185139398778875</v>
      </c>
      <c r="V551" s="41" t="e">
        <f t="shared" si="92"/>
        <v>#NUM!</v>
      </c>
      <c r="W551" s="43">
        <f t="shared" si="93"/>
        <v>3.2410481506716442</v>
      </c>
      <c r="X551" s="43" t="e">
        <f t="shared" si="94"/>
        <v>#NUM!</v>
      </c>
    </row>
    <row r="552" spans="1:24" ht="14.25" customHeight="1">
      <c r="A552" s="46"/>
      <c r="B552" s="8">
        <v>5</v>
      </c>
      <c r="C552" s="8">
        <f t="shared" si="88"/>
        <v>2.5</v>
      </c>
      <c r="D552" s="16" t="s">
        <v>25</v>
      </c>
      <c r="E552" s="12" t="s">
        <v>219</v>
      </c>
      <c r="F552" s="17" t="s">
        <v>34</v>
      </c>
      <c r="G552" s="17" t="s">
        <v>35</v>
      </c>
      <c r="H552" s="17" t="s">
        <v>29</v>
      </c>
      <c r="I552" s="17" t="s">
        <v>36</v>
      </c>
      <c r="J552" s="8">
        <v>1.39</v>
      </c>
      <c r="K552" s="8">
        <v>1.7889999999999999</v>
      </c>
      <c r="L552" s="8">
        <f t="shared" si="97"/>
        <v>28.705035971223026</v>
      </c>
      <c r="M552" s="9">
        <v>33</v>
      </c>
      <c r="N552" s="9">
        <v>24.8</v>
      </c>
      <c r="O552" s="10">
        <f t="shared" si="96"/>
        <v>-24.848484848484848</v>
      </c>
      <c r="P552" s="11">
        <v>174.2</v>
      </c>
      <c r="Q552" s="11">
        <v>6.6</v>
      </c>
      <c r="R552" s="33">
        <f t="shared" si="95"/>
        <v>-96.211251435132041</v>
      </c>
      <c r="S552" s="37">
        <f t="shared" si="89"/>
        <v>1.143014800254095</v>
      </c>
      <c r="T552" s="37">
        <f t="shared" si="90"/>
        <v>2.4579580954326534</v>
      </c>
      <c r="U552" s="42">
        <f t="shared" si="91"/>
        <v>2.5185139398778875</v>
      </c>
      <c r="V552" s="41" t="e">
        <f t="shared" si="92"/>
        <v>#NUM!</v>
      </c>
      <c r="W552" s="43">
        <f t="shared" si="93"/>
        <v>3.2410481506716442</v>
      </c>
      <c r="X552" s="43" t="e">
        <f t="shared" si="94"/>
        <v>#NUM!</v>
      </c>
    </row>
    <row r="553" spans="1:24" ht="14.25" customHeight="1">
      <c r="A553" s="46"/>
      <c r="B553" s="8">
        <v>7</v>
      </c>
      <c r="C553" s="8">
        <f t="shared" si="88"/>
        <v>3.5</v>
      </c>
      <c r="D553" s="16" t="s">
        <v>25</v>
      </c>
      <c r="E553" s="12" t="s">
        <v>219</v>
      </c>
      <c r="F553" s="17" t="s">
        <v>34</v>
      </c>
      <c r="G553" s="17" t="s">
        <v>35</v>
      </c>
      <c r="H553" s="17" t="s">
        <v>29</v>
      </c>
      <c r="I553" s="17" t="s">
        <v>36</v>
      </c>
      <c r="J553" s="8">
        <v>1.39</v>
      </c>
      <c r="K553" s="8">
        <v>1.8169999999999999</v>
      </c>
      <c r="L553" s="8">
        <f t="shared" si="97"/>
        <v>30.719424460431661</v>
      </c>
      <c r="M553" s="9">
        <v>33</v>
      </c>
      <c r="N553" s="9">
        <v>25.1</v>
      </c>
      <c r="O553" s="10">
        <f t="shared" si="96"/>
        <v>-23.939393939393934</v>
      </c>
      <c r="P553" s="11">
        <v>174.2</v>
      </c>
      <c r="Q553" s="11">
        <v>5.7</v>
      </c>
      <c r="R553" s="33">
        <f t="shared" si="95"/>
        <v>-96.727898966704942</v>
      </c>
      <c r="S553" s="37">
        <f t="shared" si="89"/>
        <v>1.143014800254095</v>
      </c>
      <c r="T553" s="37">
        <f t="shared" si="90"/>
        <v>2.4874130747709291</v>
      </c>
      <c r="U553" s="42">
        <f t="shared" si="91"/>
        <v>2.5185139398778875</v>
      </c>
      <c r="V553" s="41" t="e">
        <f t="shared" si="92"/>
        <v>#NUM!</v>
      </c>
      <c r="W553" s="43">
        <f t="shared" si="93"/>
        <v>3.2410481506716442</v>
      </c>
      <c r="X553" s="43" t="e">
        <f t="shared" si="94"/>
        <v>#NUM!</v>
      </c>
    </row>
    <row r="554" spans="1:24" ht="14.25" customHeight="1">
      <c r="A554" s="46"/>
      <c r="B554" s="8">
        <v>5</v>
      </c>
      <c r="C554" s="8">
        <f t="shared" si="88"/>
        <v>2.5</v>
      </c>
      <c r="D554" s="16" t="s">
        <v>25</v>
      </c>
      <c r="E554" s="12" t="s">
        <v>219</v>
      </c>
      <c r="F554" s="17" t="s">
        <v>34</v>
      </c>
      <c r="G554" s="17" t="s">
        <v>35</v>
      </c>
      <c r="H554" s="17" t="s">
        <v>29</v>
      </c>
      <c r="I554" s="17" t="s">
        <v>36</v>
      </c>
      <c r="J554" s="8">
        <v>1.431</v>
      </c>
      <c r="K554" s="8">
        <v>1.28</v>
      </c>
      <c r="L554" s="8">
        <f t="shared" si="97"/>
        <v>-10.552061495457723</v>
      </c>
      <c r="M554" s="9">
        <v>27.6</v>
      </c>
      <c r="N554" s="9">
        <v>22.8</v>
      </c>
      <c r="O554" s="10">
        <f t="shared" si="96"/>
        <v>-17.39130434782609</v>
      </c>
      <c r="P554" s="11">
        <v>506.5</v>
      </c>
      <c r="Q554" s="11">
        <v>456.8</v>
      </c>
      <c r="R554" s="33">
        <f t="shared" si="95"/>
        <v>-9.8124383020730477</v>
      </c>
      <c r="S554" s="37">
        <f t="shared" si="89"/>
        <v>1.1556396337597763</v>
      </c>
      <c r="T554" s="37" t="e">
        <f t="shared" si="90"/>
        <v>#NUM!</v>
      </c>
      <c r="U554" s="42">
        <f t="shared" si="91"/>
        <v>2.4409090820652177</v>
      </c>
      <c r="V554" s="41" t="e">
        <f t="shared" si="92"/>
        <v>#NUM!</v>
      </c>
      <c r="W554" s="43">
        <f t="shared" si="93"/>
        <v>3.7045794496962992</v>
      </c>
      <c r="X554" s="43" t="e">
        <f t="shared" si="94"/>
        <v>#NUM!</v>
      </c>
    </row>
    <row r="555" spans="1:24" ht="14.25" customHeight="1">
      <c r="A555" s="49"/>
      <c r="B555" s="8">
        <v>1</v>
      </c>
      <c r="C555" s="8">
        <f t="shared" si="88"/>
        <v>0.5</v>
      </c>
      <c r="D555" s="16" t="s">
        <v>25</v>
      </c>
      <c r="E555" s="12" t="s">
        <v>219</v>
      </c>
      <c r="F555" s="17" t="s">
        <v>34</v>
      </c>
      <c r="G555" s="17" t="s">
        <v>35</v>
      </c>
      <c r="H555" s="17" t="s">
        <v>29</v>
      </c>
      <c r="I555" s="17" t="s">
        <v>36</v>
      </c>
      <c r="J555" s="8">
        <v>2.4</v>
      </c>
      <c r="K555" s="8">
        <v>2.6560000000000001</v>
      </c>
      <c r="L555" s="8">
        <f t="shared" si="97"/>
        <v>10.666666666666677</v>
      </c>
      <c r="M555" s="9">
        <v>40.9</v>
      </c>
      <c r="N555" s="9">
        <v>41.2</v>
      </c>
      <c r="O555" s="10">
        <f t="shared" si="96"/>
        <v>0.73349633251834789</v>
      </c>
      <c r="P555" s="11">
        <v>3.1</v>
      </c>
      <c r="Q555" s="11">
        <v>2.4900000000000002</v>
      </c>
      <c r="R555" s="33">
        <f t="shared" si="95"/>
        <v>-19.677419354838705</v>
      </c>
      <c r="S555" s="37">
        <f t="shared" si="89"/>
        <v>1.3802112417116059</v>
      </c>
      <c r="T555" s="37">
        <f t="shared" si="90"/>
        <v>2.0280287236002441</v>
      </c>
      <c r="U555" s="42">
        <f t="shared" si="91"/>
        <v>2.6117233080073419</v>
      </c>
      <c r="V555" s="41">
        <f t="shared" si="92"/>
        <v>0.86539794671232684</v>
      </c>
      <c r="W555" s="43">
        <f t="shared" si="93"/>
        <v>1.4913616938342726</v>
      </c>
      <c r="X555" s="43" t="e">
        <f t="shared" si="94"/>
        <v>#NUM!</v>
      </c>
    </row>
    <row r="556" spans="1:24" ht="14.25" customHeight="1">
      <c r="A556" s="49"/>
      <c r="B556" s="8">
        <v>3</v>
      </c>
      <c r="C556" s="8">
        <f t="shared" si="88"/>
        <v>1.5</v>
      </c>
      <c r="D556" s="16" t="s">
        <v>25</v>
      </c>
      <c r="E556" s="12" t="s">
        <v>219</v>
      </c>
      <c r="F556" s="17" t="s">
        <v>34</v>
      </c>
      <c r="G556" s="17" t="s">
        <v>35</v>
      </c>
      <c r="H556" s="17" t="s">
        <v>29</v>
      </c>
      <c r="I556" s="17" t="s">
        <v>36</v>
      </c>
      <c r="J556" s="8">
        <v>2.4</v>
      </c>
      <c r="K556" s="8">
        <v>2.7330000000000001</v>
      </c>
      <c r="L556" s="8">
        <f t="shared" si="97"/>
        <v>13.875000000000009</v>
      </c>
      <c r="M556" s="9">
        <v>40.9</v>
      </c>
      <c r="N556" s="9">
        <v>41.1</v>
      </c>
      <c r="O556" s="10">
        <f t="shared" si="96"/>
        <v>0.48899755501223185</v>
      </c>
      <c r="P556" s="11">
        <v>3.1</v>
      </c>
      <c r="Q556" s="11">
        <v>2.2999999999999998</v>
      </c>
      <c r="R556" s="33">
        <f t="shared" si="95"/>
        <v>-25.806451612903235</v>
      </c>
      <c r="S556" s="37">
        <f t="shared" si="89"/>
        <v>1.3802112417116059</v>
      </c>
      <c r="T556" s="37">
        <f t="shared" si="90"/>
        <v>2.1422329917947143</v>
      </c>
      <c r="U556" s="42">
        <f t="shared" si="91"/>
        <v>2.6117233080073419</v>
      </c>
      <c r="V556" s="41">
        <f t="shared" si="92"/>
        <v>0.6893066876566456</v>
      </c>
      <c r="W556" s="43">
        <f t="shared" si="93"/>
        <v>1.4913616938342726</v>
      </c>
      <c r="X556" s="43" t="e">
        <f t="shared" si="94"/>
        <v>#NUM!</v>
      </c>
    </row>
    <row r="557" spans="1:24" ht="14.25" customHeight="1">
      <c r="A557" s="49"/>
      <c r="B557" s="8">
        <v>5</v>
      </c>
      <c r="C557" s="8">
        <f t="shared" si="88"/>
        <v>2.5</v>
      </c>
      <c r="D557" s="16" t="s">
        <v>25</v>
      </c>
      <c r="E557" s="12" t="s">
        <v>219</v>
      </c>
      <c r="F557" s="17" t="s">
        <v>34</v>
      </c>
      <c r="G557" s="17" t="s">
        <v>35</v>
      </c>
      <c r="H557" s="17" t="s">
        <v>29</v>
      </c>
      <c r="I557" s="17" t="s">
        <v>36</v>
      </c>
      <c r="J557" s="8">
        <v>2.4</v>
      </c>
      <c r="K557" s="8">
        <v>2.9649999999999999</v>
      </c>
      <c r="L557" s="8">
        <f t="shared" si="97"/>
        <v>23.541666666666668</v>
      </c>
      <c r="M557" s="9">
        <v>40.9</v>
      </c>
      <c r="N557" s="9">
        <v>41.1</v>
      </c>
      <c r="O557" s="10">
        <f t="shared" si="96"/>
        <v>0.48899755501223185</v>
      </c>
      <c r="P557" s="11">
        <v>3.1</v>
      </c>
      <c r="Q557" s="11">
        <v>2.25</v>
      </c>
      <c r="R557" s="33">
        <f t="shared" si="95"/>
        <v>-27.41935483870968</v>
      </c>
      <c r="S557" s="37">
        <f t="shared" si="89"/>
        <v>1.3802112417116059</v>
      </c>
      <c r="T557" s="37">
        <f t="shared" si="90"/>
        <v>2.3718372061078323</v>
      </c>
      <c r="U557" s="42">
        <f t="shared" si="91"/>
        <v>2.6117233080073419</v>
      </c>
      <c r="V557" s="41">
        <f t="shared" si="92"/>
        <v>0.6893066876566456</v>
      </c>
      <c r="W557" s="43">
        <f t="shared" si="93"/>
        <v>1.4913616938342726</v>
      </c>
      <c r="X557" s="43" t="e">
        <f t="shared" si="94"/>
        <v>#NUM!</v>
      </c>
    </row>
    <row r="558" spans="1:24" ht="14.25" customHeight="1">
      <c r="A558" s="49"/>
      <c r="B558" s="8">
        <v>7</v>
      </c>
      <c r="C558" s="8">
        <f t="shared" si="88"/>
        <v>3.5</v>
      </c>
      <c r="D558" s="16" t="s">
        <v>25</v>
      </c>
      <c r="E558" s="12" t="s">
        <v>219</v>
      </c>
      <c r="F558" s="17" t="s">
        <v>34</v>
      </c>
      <c r="G558" s="17" t="s">
        <v>35</v>
      </c>
      <c r="H558" s="17" t="s">
        <v>29</v>
      </c>
      <c r="I558" s="17" t="s">
        <v>36</v>
      </c>
      <c r="J558" s="8">
        <v>2.4</v>
      </c>
      <c r="K558" s="8">
        <v>2.9769999999999999</v>
      </c>
      <c r="L558" s="8">
        <f t="shared" si="97"/>
        <v>24.041666666666668</v>
      </c>
      <c r="M558" s="9">
        <v>40.9</v>
      </c>
      <c r="N558" s="9">
        <v>40.299999999999997</v>
      </c>
      <c r="O558" s="10">
        <f t="shared" si="96"/>
        <v>-1.4669926650366782</v>
      </c>
      <c r="P558" s="11">
        <v>3.1</v>
      </c>
      <c r="Q558" s="11">
        <v>2.11</v>
      </c>
      <c r="R558" s="33">
        <f t="shared" si="95"/>
        <v>-31.935483870967747</v>
      </c>
      <c r="S558" s="37">
        <f t="shared" si="89"/>
        <v>1.3802112417116059</v>
      </c>
      <c r="T558" s="37">
        <f t="shared" si="90"/>
        <v>2.3809645714441254</v>
      </c>
      <c r="U558" s="42">
        <f t="shared" si="91"/>
        <v>2.6117233080073419</v>
      </c>
      <c r="V558" s="41" t="e">
        <f t="shared" si="92"/>
        <v>#NUM!</v>
      </c>
      <c r="W558" s="43">
        <f t="shared" si="93"/>
        <v>1.4913616938342726</v>
      </c>
      <c r="X558" s="43" t="e">
        <f t="shared" si="94"/>
        <v>#NUM!</v>
      </c>
    </row>
    <row r="559" spans="1:24" ht="14.25" customHeight="1">
      <c r="A559" s="50"/>
      <c r="B559" s="8">
        <v>5</v>
      </c>
      <c r="C559" s="8">
        <f t="shared" si="88"/>
        <v>2.5</v>
      </c>
      <c r="D559" s="16" t="s">
        <v>25</v>
      </c>
      <c r="E559" s="12" t="s">
        <v>219</v>
      </c>
      <c r="F559" s="17" t="s">
        <v>34</v>
      </c>
      <c r="G559" s="17" t="s">
        <v>35</v>
      </c>
      <c r="H559" s="17" t="s">
        <v>29</v>
      </c>
      <c r="I559" s="17" t="s">
        <v>36</v>
      </c>
      <c r="J559" s="8">
        <v>2.444</v>
      </c>
      <c r="K559" s="8">
        <v>2.5590000000000002</v>
      </c>
      <c r="L559" s="8">
        <f t="shared" si="97"/>
        <v>4.7054009819967355</v>
      </c>
      <c r="M559" s="9">
        <v>39</v>
      </c>
      <c r="N559" s="9">
        <v>39.299999999999997</v>
      </c>
      <c r="O559" s="10">
        <f t="shared" si="96"/>
        <v>0.76923076923076195</v>
      </c>
      <c r="P559" s="11">
        <v>89.8</v>
      </c>
      <c r="Q559" s="11">
        <v>3.5</v>
      </c>
      <c r="R559" s="33">
        <f t="shared" si="95"/>
        <v>-96.102449888641431</v>
      </c>
      <c r="S559" s="37">
        <f t="shared" si="89"/>
        <v>1.3881012015705165</v>
      </c>
      <c r="T559" s="37">
        <f t="shared" si="90"/>
        <v>1.6725966387830959</v>
      </c>
      <c r="U559" s="42">
        <f t="shared" si="91"/>
        <v>2.5910646070264991</v>
      </c>
      <c r="V559" s="41">
        <f t="shared" si="92"/>
        <v>0.88605664769315917</v>
      </c>
      <c r="W559" s="43">
        <f t="shared" si="93"/>
        <v>2.9532763366673045</v>
      </c>
      <c r="X559" s="43" t="e">
        <f t="shared" si="94"/>
        <v>#NUM!</v>
      </c>
    </row>
    <row r="560" spans="1:24" ht="14.25" customHeight="1">
      <c r="A560" s="45" t="s">
        <v>220</v>
      </c>
      <c r="B560" s="8">
        <v>2.5</v>
      </c>
      <c r="C560" s="8">
        <f t="shared" si="88"/>
        <v>1.25</v>
      </c>
      <c r="D560" s="16" t="s">
        <v>25</v>
      </c>
      <c r="E560" s="12" t="s">
        <v>58</v>
      </c>
      <c r="F560" s="17" t="s">
        <v>112</v>
      </c>
      <c r="G560" s="17" t="s">
        <v>52</v>
      </c>
      <c r="H560" s="17" t="s">
        <v>29</v>
      </c>
      <c r="I560" s="17" t="s">
        <v>36</v>
      </c>
      <c r="J560" s="8">
        <v>2.2010000000000001</v>
      </c>
      <c r="K560" s="8">
        <v>3.22</v>
      </c>
      <c r="L560" s="8">
        <f t="shared" si="97"/>
        <v>46.297137664697871</v>
      </c>
      <c r="M560" s="9">
        <v>61.2</v>
      </c>
      <c r="N560" s="9">
        <v>75.3</v>
      </c>
      <c r="O560" s="10">
        <f t="shared" si="96"/>
        <v>23.039215686274499</v>
      </c>
      <c r="P560" s="11" t="s">
        <v>31</v>
      </c>
      <c r="Q560" s="11" t="s">
        <v>31</v>
      </c>
      <c r="R560" s="33" t="s">
        <v>31</v>
      </c>
      <c r="S560" s="37">
        <f t="shared" si="89"/>
        <v>1.3426200425533481</v>
      </c>
      <c r="T560" s="37">
        <f t="shared" si="90"/>
        <v>2.6655541414530783</v>
      </c>
      <c r="U560" s="42">
        <f t="shared" si="91"/>
        <v>2.7867514221455614</v>
      </c>
      <c r="V560" s="41">
        <f t="shared" si="92"/>
        <v>2.3624676905098183</v>
      </c>
      <c r="W560" s="43" t="e">
        <f t="shared" si="93"/>
        <v>#VALUE!</v>
      </c>
      <c r="X560" s="43" t="e">
        <f t="shared" si="94"/>
        <v>#VALUE!</v>
      </c>
    </row>
    <row r="561" spans="1:24" ht="14.25" customHeight="1">
      <c r="A561" s="49"/>
      <c r="B561" s="8">
        <v>5</v>
      </c>
      <c r="C561" s="8">
        <f t="shared" si="88"/>
        <v>2.5</v>
      </c>
      <c r="D561" s="16" t="s">
        <v>25</v>
      </c>
      <c r="E561" s="12" t="s">
        <v>58</v>
      </c>
      <c r="F561" s="17" t="s">
        <v>112</v>
      </c>
      <c r="G561" s="17" t="s">
        <v>52</v>
      </c>
      <c r="H561" s="17" t="s">
        <v>29</v>
      </c>
      <c r="I561" s="17" t="s">
        <v>36</v>
      </c>
      <c r="J561" s="8">
        <v>2.2010000000000001</v>
      </c>
      <c r="K561" s="8">
        <v>3.33</v>
      </c>
      <c r="L561" s="8">
        <f t="shared" si="97"/>
        <v>51.294865970013625</v>
      </c>
      <c r="M561" s="9">
        <v>61.2</v>
      </c>
      <c r="N561" s="9">
        <v>74</v>
      </c>
      <c r="O561" s="10">
        <f t="shared" si="96"/>
        <v>20.915032679738559</v>
      </c>
      <c r="P561" s="11" t="s">
        <v>31</v>
      </c>
      <c r="Q561" s="11" t="s">
        <v>31</v>
      </c>
      <c r="R561" s="33" t="s">
        <v>31</v>
      </c>
      <c r="S561" s="37">
        <f t="shared" si="89"/>
        <v>1.3426200425533481</v>
      </c>
      <c r="T561" s="37">
        <f t="shared" si="90"/>
        <v>2.7100738993716198</v>
      </c>
      <c r="U561" s="42">
        <f t="shared" si="91"/>
        <v>2.7867514221455614</v>
      </c>
      <c r="V561" s="41">
        <f t="shared" si="92"/>
        <v>2.320458547502307</v>
      </c>
      <c r="W561" s="43" t="e">
        <f t="shared" si="93"/>
        <v>#VALUE!</v>
      </c>
      <c r="X561" s="43" t="e">
        <f t="shared" si="94"/>
        <v>#VALUE!</v>
      </c>
    </row>
    <row r="562" spans="1:24" ht="14.25" customHeight="1">
      <c r="A562" s="49"/>
      <c r="B562" s="8">
        <v>7.5</v>
      </c>
      <c r="C562" s="8">
        <f t="shared" si="88"/>
        <v>3.75</v>
      </c>
      <c r="D562" s="16" t="s">
        <v>25</v>
      </c>
      <c r="E562" s="12" t="s">
        <v>58</v>
      </c>
      <c r="F562" s="17" t="s">
        <v>112</v>
      </c>
      <c r="G562" s="17" t="s">
        <v>52</v>
      </c>
      <c r="H562" s="17" t="s">
        <v>29</v>
      </c>
      <c r="I562" s="17" t="s">
        <v>36</v>
      </c>
      <c r="J562" s="8">
        <v>2.2010000000000001</v>
      </c>
      <c r="K562" s="8">
        <v>3.45</v>
      </c>
      <c r="L562" s="8">
        <f t="shared" si="97"/>
        <v>56.746933212176287</v>
      </c>
      <c r="M562" s="9">
        <v>61.2</v>
      </c>
      <c r="N562" s="9">
        <v>69.099999999999994</v>
      </c>
      <c r="O562" s="10">
        <f t="shared" si="96"/>
        <v>12.908496732026128</v>
      </c>
      <c r="P562" s="11" t="s">
        <v>31</v>
      </c>
      <c r="Q562" s="11" t="s">
        <v>31</v>
      </c>
      <c r="R562" s="33" t="s">
        <v>31</v>
      </c>
      <c r="S562" s="37">
        <f t="shared" si="89"/>
        <v>1.3426200425533481</v>
      </c>
      <c r="T562" s="37">
        <f t="shared" si="90"/>
        <v>2.7539423958207876</v>
      </c>
      <c r="U562" s="42">
        <f t="shared" si="91"/>
        <v>2.7867514221455614</v>
      </c>
      <c r="V562" s="41">
        <f t="shared" si="92"/>
        <v>2.1108756691448796</v>
      </c>
      <c r="W562" s="43" t="e">
        <f t="shared" si="93"/>
        <v>#VALUE!</v>
      </c>
      <c r="X562" s="43" t="e">
        <f t="shared" si="94"/>
        <v>#VALUE!</v>
      </c>
    </row>
    <row r="563" spans="1:24" ht="14.25" customHeight="1">
      <c r="A563" s="49"/>
      <c r="B563" s="8">
        <v>2.5</v>
      </c>
      <c r="C563" s="8">
        <f t="shared" si="88"/>
        <v>1.25</v>
      </c>
      <c r="D563" s="16" t="s">
        <v>25</v>
      </c>
      <c r="E563" s="12" t="s">
        <v>58</v>
      </c>
      <c r="F563" s="17" t="s">
        <v>112</v>
      </c>
      <c r="G563" s="17" t="s">
        <v>52</v>
      </c>
      <c r="H563" s="17" t="s">
        <v>29</v>
      </c>
      <c r="I563" s="17" t="s">
        <v>36</v>
      </c>
      <c r="J563" s="8">
        <v>2.8</v>
      </c>
      <c r="K563" s="8">
        <v>3.4950000000000001</v>
      </c>
      <c r="L563" s="8">
        <f t="shared" si="97"/>
        <v>24.821428571428584</v>
      </c>
      <c r="M563" s="9">
        <v>81.3</v>
      </c>
      <c r="N563" s="9">
        <v>95.7</v>
      </c>
      <c r="O563" s="10">
        <f t="shared" si="96"/>
        <v>17.712177121771226</v>
      </c>
      <c r="P563" s="11" t="s">
        <v>31</v>
      </c>
      <c r="Q563" s="11" t="s">
        <v>31</v>
      </c>
      <c r="R563" s="33" t="s">
        <v>31</v>
      </c>
      <c r="S563" s="37">
        <f t="shared" si="89"/>
        <v>1.4471580313422192</v>
      </c>
      <c r="T563" s="37">
        <f t="shared" si="90"/>
        <v>2.3948267732478947</v>
      </c>
      <c r="U563" s="42">
        <f t="shared" si="91"/>
        <v>2.910090545594068</v>
      </c>
      <c r="V563" s="41">
        <f t="shared" si="92"/>
        <v>2.2482719465011818</v>
      </c>
      <c r="W563" s="43" t="e">
        <f t="shared" si="93"/>
        <v>#VALUE!</v>
      </c>
      <c r="X563" s="43" t="e">
        <f t="shared" si="94"/>
        <v>#VALUE!</v>
      </c>
    </row>
    <row r="564" spans="1:24" ht="14.25" customHeight="1">
      <c r="A564" s="49"/>
      <c r="B564" s="8">
        <v>5</v>
      </c>
      <c r="C564" s="8">
        <f t="shared" si="88"/>
        <v>2.5</v>
      </c>
      <c r="D564" s="16" t="s">
        <v>25</v>
      </c>
      <c r="E564" s="12" t="s">
        <v>58</v>
      </c>
      <c r="F564" s="17" t="s">
        <v>112</v>
      </c>
      <c r="G564" s="17" t="s">
        <v>52</v>
      </c>
      <c r="H564" s="17" t="s">
        <v>29</v>
      </c>
      <c r="I564" s="17" t="s">
        <v>36</v>
      </c>
      <c r="J564" s="8">
        <v>2.8</v>
      </c>
      <c r="K564" s="8">
        <v>3.55</v>
      </c>
      <c r="L564" s="8">
        <f t="shared" si="97"/>
        <v>26.785714285714285</v>
      </c>
      <c r="M564" s="9">
        <v>81.3</v>
      </c>
      <c r="N564" s="9">
        <v>102.1</v>
      </c>
      <c r="O564" s="10">
        <f t="shared" si="96"/>
        <v>25.584255842558424</v>
      </c>
      <c r="P564" s="11" t="s">
        <v>31</v>
      </c>
      <c r="Q564" s="11" t="s">
        <v>31</v>
      </c>
      <c r="R564" s="33" t="s">
        <v>31</v>
      </c>
      <c r="S564" s="37">
        <f t="shared" si="89"/>
        <v>1.4471580313422192</v>
      </c>
      <c r="T564" s="37">
        <f t="shared" si="90"/>
        <v>2.4279032320494807</v>
      </c>
      <c r="U564" s="42">
        <f t="shared" si="91"/>
        <v>2.910090545594068</v>
      </c>
      <c r="V564" s="41">
        <f t="shared" si="92"/>
        <v>2.4079727893686935</v>
      </c>
      <c r="W564" s="43" t="e">
        <f t="shared" si="93"/>
        <v>#VALUE!</v>
      </c>
      <c r="X564" s="43" t="e">
        <f t="shared" si="94"/>
        <v>#VALUE!</v>
      </c>
    </row>
    <row r="565" spans="1:24" ht="14.25" customHeight="1">
      <c r="A565" s="50"/>
      <c r="B565" s="8">
        <v>7.5</v>
      </c>
      <c r="C565" s="8">
        <f t="shared" si="88"/>
        <v>3.75</v>
      </c>
      <c r="D565" s="16" t="s">
        <v>25</v>
      </c>
      <c r="E565" s="12" t="s">
        <v>58</v>
      </c>
      <c r="F565" s="17" t="s">
        <v>112</v>
      </c>
      <c r="G565" s="17" t="s">
        <v>52</v>
      </c>
      <c r="H565" s="17" t="s">
        <v>29</v>
      </c>
      <c r="I565" s="17" t="s">
        <v>36</v>
      </c>
      <c r="J565" s="8">
        <v>2.8</v>
      </c>
      <c r="K565" s="8">
        <v>3.72</v>
      </c>
      <c r="L565" s="8">
        <f t="shared" si="97"/>
        <v>32.857142857142875</v>
      </c>
      <c r="M565" s="9">
        <v>81.3</v>
      </c>
      <c r="N565" s="9">
        <v>94.2</v>
      </c>
      <c r="O565" s="10">
        <f t="shared" si="96"/>
        <v>15.867158671586722</v>
      </c>
      <c r="P565" s="11" t="s">
        <v>31</v>
      </c>
      <c r="Q565" s="11" t="s">
        <v>31</v>
      </c>
      <c r="R565" s="33" t="s">
        <v>31</v>
      </c>
      <c r="S565" s="37">
        <f t="shared" si="89"/>
        <v>1.4471580313422192</v>
      </c>
      <c r="T565" s="37">
        <f t="shared" si="90"/>
        <v>2.5166297960033361</v>
      </c>
      <c r="U565" s="42">
        <f t="shared" si="91"/>
        <v>2.910090545594068</v>
      </c>
      <c r="V565" s="41">
        <f t="shared" si="92"/>
        <v>2.2004991647051808</v>
      </c>
      <c r="W565" s="43" t="e">
        <f t="shared" si="93"/>
        <v>#VALUE!</v>
      </c>
      <c r="X565" s="43" t="e">
        <f t="shared" si="94"/>
        <v>#VALUE!</v>
      </c>
    </row>
    <row r="566" spans="1:24" ht="14.25" customHeight="1">
      <c r="A566" s="45" t="s">
        <v>221</v>
      </c>
      <c r="B566" s="8">
        <v>3</v>
      </c>
      <c r="C566" s="8">
        <f t="shared" si="88"/>
        <v>1.5</v>
      </c>
      <c r="D566" s="16" t="s">
        <v>25</v>
      </c>
      <c r="E566" s="12" t="s">
        <v>222</v>
      </c>
      <c r="F566" s="17" t="s">
        <v>34</v>
      </c>
      <c r="G566" s="17" t="s">
        <v>35</v>
      </c>
      <c r="H566" s="17" t="s">
        <v>29</v>
      </c>
      <c r="I566" s="17" t="s">
        <v>36</v>
      </c>
      <c r="J566" s="8">
        <v>0.20899999999999999</v>
      </c>
      <c r="K566" s="8">
        <v>0.246</v>
      </c>
      <c r="L566" s="8">
        <f t="shared" si="97"/>
        <v>17.703349282296653</v>
      </c>
      <c r="M566" s="9">
        <v>32.340000000000003</v>
      </c>
      <c r="N566" s="9">
        <v>32.61</v>
      </c>
      <c r="O566" s="10">
        <f t="shared" si="96"/>
        <v>0.83487940630796542</v>
      </c>
      <c r="P566" s="11" t="s">
        <v>31</v>
      </c>
      <c r="Q566" s="11" t="s">
        <v>31</v>
      </c>
      <c r="R566" s="33" t="s">
        <v>31</v>
      </c>
      <c r="S566" s="37">
        <f t="shared" si="89"/>
        <v>0.32014628611105395</v>
      </c>
      <c r="T566" s="37">
        <f t="shared" si="90"/>
        <v>2.2480554379559412</v>
      </c>
      <c r="U566" s="42">
        <f t="shared" si="91"/>
        <v>2.5097400155703822</v>
      </c>
      <c r="V566" s="41">
        <f t="shared" si="92"/>
        <v>0.92162374858859863</v>
      </c>
      <c r="W566" s="43" t="e">
        <f t="shared" si="93"/>
        <v>#VALUE!</v>
      </c>
      <c r="X566" s="43" t="e">
        <f t="shared" si="94"/>
        <v>#VALUE!</v>
      </c>
    </row>
    <row r="567" spans="1:24" ht="14.25" customHeight="1">
      <c r="A567" s="49"/>
      <c r="B567" s="8">
        <v>3</v>
      </c>
      <c r="C567" s="8">
        <f t="shared" si="88"/>
        <v>1.5</v>
      </c>
      <c r="D567" s="16" t="s">
        <v>25</v>
      </c>
      <c r="E567" s="12" t="s">
        <v>222</v>
      </c>
      <c r="F567" s="17" t="s">
        <v>34</v>
      </c>
      <c r="G567" s="17" t="s">
        <v>35</v>
      </c>
      <c r="H567" s="17" t="s">
        <v>29</v>
      </c>
      <c r="I567" s="17" t="s">
        <v>36</v>
      </c>
      <c r="J567" s="8">
        <v>0.20899999999999999</v>
      </c>
      <c r="K567" s="8">
        <v>0.23699999999999999</v>
      </c>
      <c r="L567" s="8">
        <f t="shared" si="97"/>
        <v>13.397129186602871</v>
      </c>
      <c r="M567" s="9">
        <v>32.340000000000003</v>
      </c>
      <c r="N567" s="9">
        <v>31.15</v>
      </c>
      <c r="O567" s="10">
        <f t="shared" si="96"/>
        <v>-3.6796536796536947</v>
      </c>
      <c r="P567" s="11" t="s">
        <v>31</v>
      </c>
      <c r="Q567" s="11" t="s">
        <v>31</v>
      </c>
      <c r="R567" s="33" t="s">
        <v>31</v>
      </c>
      <c r="S567" s="37">
        <f t="shared" si="89"/>
        <v>0.32014628611105395</v>
      </c>
      <c r="T567" s="37">
        <f t="shared" si="90"/>
        <v>2.1270117452311652</v>
      </c>
      <c r="U567" s="42">
        <f t="shared" si="91"/>
        <v>2.5097400155703822</v>
      </c>
      <c r="V567" s="41" t="e">
        <f t="shared" si="92"/>
        <v>#NUM!</v>
      </c>
      <c r="W567" s="43" t="e">
        <f t="shared" si="93"/>
        <v>#VALUE!</v>
      </c>
      <c r="X567" s="43" t="e">
        <f t="shared" si="94"/>
        <v>#VALUE!</v>
      </c>
    </row>
    <row r="568" spans="1:24" ht="14.25" customHeight="1">
      <c r="A568" s="49"/>
      <c r="B568" s="8">
        <v>3</v>
      </c>
      <c r="C568" s="8">
        <f t="shared" si="88"/>
        <v>1.5</v>
      </c>
      <c r="D568" s="16" t="s">
        <v>25</v>
      </c>
      <c r="E568" s="12" t="s">
        <v>222</v>
      </c>
      <c r="F568" s="17" t="s">
        <v>34</v>
      </c>
      <c r="G568" s="17" t="s">
        <v>35</v>
      </c>
      <c r="H568" s="17" t="s">
        <v>29</v>
      </c>
      <c r="I568" s="17" t="s">
        <v>36</v>
      </c>
      <c r="J568" s="8">
        <v>0.20899999999999999</v>
      </c>
      <c r="K568" s="8">
        <v>0.22600000000000001</v>
      </c>
      <c r="L568" s="8">
        <f t="shared" si="97"/>
        <v>8.1339712918660361</v>
      </c>
      <c r="M568" s="9">
        <v>32.340000000000003</v>
      </c>
      <c r="N568" s="9">
        <v>31.43</v>
      </c>
      <c r="O568" s="10">
        <f t="shared" si="96"/>
        <v>-2.8138528138528249</v>
      </c>
      <c r="P568" s="11" t="s">
        <v>31</v>
      </c>
      <c r="Q568" s="11" t="s">
        <v>31</v>
      </c>
      <c r="R568" s="33" t="s">
        <v>31</v>
      </c>
      <c r="S568" s="37">
        <f t="shared" si="89"/>
        <v>0.32014628611105395</v>
      </c>
      <c r="T568" s="37">
        <f t="shared" si="90"/>
        <v>1.9103026352672203</v>
      </c>
      <c r="U568" s="42">
        <f t="shared" si="91"/>
        <v>2.5097400155703822</v>
      </c>
      <c r="V568" s="41" t="e">
        <f t="shared" si="92"/>
        <v>#NUM!</v>
      </c>
      <c r="W568" s="43" t="e">
        <f t="shared" si="93"/>
        <v>#VALUE!</v>
      </c>
      <c r="X568" s="43" t="e">
        <f t="shared" si="94"/>
        <v>#VALUE!</v>
      </c>
    </row>
    <row r="569" spans="1:24" ht="14.25" customHeight="1">
      <c r="A569" s="49"/>
      <c r="B569" s="8">
        <v>8</v>
      </c>
      <c r="C569" s="8">
        <f t="shared" si="88"/>
        <v>4</v>
      </c>
      <c r="D569" s="16" t="s">
        <v>25</v>
      </c>
      <c r="E569" s="12" t="s">
        <v>222</v>
      </c>
      <c r="F569" s="17" t="s">
        <v>34</v>
      </c>
      <c r="G569" s="17" t="s">
        <v>35</v>
      </c>
      <c r="H569" s="17" t="s">
        <v>29</v>
      </c>
      <c r="I569" s="17" t="s">
        <v>36</v>
      </c>
      <c r="J569" s="8">
        <v>0.20899999999999999</v>
      </c>
      <c r="K569" s="8">
        <v>0.34300000000000003</v>
      </c>
      <c r="L569" s="8">
        <f t="shared" si="97"/>
        <v>64.114832535885185</v>
      </c>
      <c r="M569" s="9">
        <v>32.340000000000003</v>
      </c>
      <c r="N569" s="9">
        <v>29.23</v>
      </c>
      <c r="O569" s="10">
        <f t="shared" si="96"/>
        <v>-9.6165739022881969</v>
      </c>
      <c r="P569" s="11" t="s">
        <v>31</v>
      </c>
      <c r="Q569" s="11" t="s">
        <v>31</v>
      </c>
      <c r="R569" s="33" t="s">
        <v>31</v>
      </c>
      <c r="S569" s="37">
        <f t="shared" si="89"/>
        <v>0.32014628611105395</v>
      </c>
      <c r="T569" s="37">
        <f t="shared" si="90"/>
        <v>2.8069585122537539</v>
      </c>
      <c r="U569" s="42">
        <f t="shared" si="91"/>
        <v>2.5097400155703822</v>
      </c>
      <c r="V569" s="41" t="e">
        <f t="shared" si="92"/>
        <v>#NUM!</v>
      </c>
      <c r="W569" s="43" t="e">
        <f t="shared" si="93"/>
        <v>#VALUE!</v>
      </c>
      <c r="X569" s="43" t="e">
        <f t="shared" si="94"/>
        <v>#VALUE!</v>
      </c>
    </row>
    <row r="570" spans="1:24" ht="14.25" customHeight="1">
      <c r="A570" s="49"/>
      <c r="B570" s="8">
        <v>12</v>
      </c>
      <c r="C570" s="8">
        <f t="shared" si="88"/>
        <v>6</v>
      </c>
      <c r="D570" s="16" t="s">
        <v>25</v>
      </c>
      <c r="E570" s="12" t="s">
        <v>222</v>
      </c>
      <c r="F570" s="17" t="s">
        <v>34</v>
      </c>
      <c r="G570" s="17" t="s">
        <v>35</v>
      </c>
      <c r="H570" s="17" t="s">
        <v>29</v>
      </c>
      <c r="I570" s="17" t="s">
        <v>36</v>
      </c>
      <c r="J570" s="8">
        <v>0.20899999999999999</v>
      </c>
      <c r="K570" s="8">
        <v>0.38</v>
      </c>
      <c r="L570" s="8">
        <f t="shared" si="97"/>
        <v>81.818181818181827</v>
      </c>
      <c r="M570" s="9">
        <v>32.340000000000003</v>
      </c>
      <c r="N570" s="9">
        <v>27.15</v>
      </c>
      <c r="O570" s="10">
        <f t="shared" si="96"/>
        <v>-16.048237476808918</v>
      </c>
      <c r="P570" s="11" t="s">
        <v>31</v>
      </c>
      <c r="Q570" s="11" t="s">
        <v>31</v>
      </c>
      <c r="R570" s="33" t="s">
        <v>31</v>
      </c>
      <c r="S570" s="37">
        <f t="shared" si="89"/>
        <v>0.32014628611105395</v>
      </c>
      <c r="T570" s="37">
        <f t="shared" si="90"/>
        <v>2.9128498242810998</v>
      </c>
      <c r="U570" s="42">
        <f t="shared" si="91"/>
        <v>2.5097400155703822</v>
      </c>
      <c r="V570" s="41" t="e">
        <f t="shared" si="92"/>
        <v>#NUM!</v>
      </c>
      <c r="W570" s="43" t="e">
        <f t="shared" si="93"/>
        <v>#VALUE!</v>
      </c>
      <c r="X570" s="43" t="e">
        <f t="shared" si="94"/>
        <v>#VALUE!</v>
      </c>
    </row>
    <row r="571" spans="1:24" ht="14.25" customHeight="1">
      <c r="A571" s="50"/>
      <c r="B571" s="8">
        <v>16</v>
      </c>
      <c r="C571" s="8">
        <f t="shared" si="88"/>
        <v>8</v>
      </c>
      <c r="D571" s="16" t="s">
        <v>25</v>
      </c>
      <c r="E571" s="12" t="s">
        <v>222</v>
      </c>
      <c r="F571" s="17" t="s">
        <v>34</v>
      </c>
      <c r="G571" s="17" t="s">
        <v>35</v>
      </c>
      <c r="H571" s="17" t="s">
        <v>29</v>
      </c>
      <c r="I571" s="17" t="s">
        <v>36</v>
      </c>
      <c r="J571" s="8">
        <v>0.20899999999999999</v>
      </c>
      <c r="K571" s="8">
        <v>0.41199999999999998</v>
      </c>
      <c r="L571" s="8">
        <f t="shared" si="97"/>
        <v>97.129186602870803</v>
      </c>
      <c r="M571" s="9">
        <v>32.340000000000003</v>
      </c>
      <c r="N571" s="9">
        <v>25.15</v>
      </c>
      <c r="O571" s="10">
        <f t="shared" si="96"/>
        <v>-22.23252937538653</v>
      </c>
      <c r="P571" s="11" t="s">
        <v>31</v>
      </c>
      <c r="Q571" s="11" t="s">
        <v>31</v>
      </c>
      <c r="R571" s="33" t="s">
        <v>31</v>
      </c>
      <c r="S571" s="37">
        <f t="shared" si="89"/>
        <v>0.32014628611105395</v>
      </c>
      <c r="T571" s="37">
        <f t="shared" si="90"/>
        <v>2.9873497518021588</v>
      </c>
      <c r="U571" s="42">
        <f t="shared" si="91"/>
        <v>2.5097400155703822</v>
      </c>
      <c r="V571" s="41" t="e">
        <f t="shared" si="92"/>
        <v>#NUM!</v>
      </c>
      <c r="W571" s="43" t="e">
        <f t="shared" si="93"/>
        <v>#VALUE!</v>
      </c>
      <c r="X571" s="43" t="e">
        <f t="shared" si="94"/>
        <v>#VALUE!</v>
      </c>
    </row>
    <row r="572" spans="1:24" ht="14.25" customHeight="1">
      <c r="A572" s="45" t="s">
        <v>223</v>
      </c>
      <c r="B572" s="8">
        <v>3.3</v>
      </c>
      <c r="C572" s="8">
        <f t="shared" si="88"/>
        <v>1.65</v>
      </c>
      <c r="D572" s="16" t="s">
        <v>25</v>
      </c>
      <c r="E572" s="12" t="s">
        <v>58</v>
      </c>
      <c r="F572" s="17" t="s">
        <v>34</v>
      </c>
      <c r="G572" s="17" t="s">
        <v>35</v>
      </c>
      <c r="H572" s="17" t="s">
        <v>29</v>
      </c>
      <c r="I572" s="17" t="s">
        <v>36</v>
      </c>
      <c r="J572" s="8">
        <v>4.62</v>
      </c>
      <c r="K572" s="8">
        <v>7.9969999999999999</v>
      </c>
      <c r="L572" s="8">
        <f t="shared" si="97"/>
        <v>73.095238095238088</v>
      </c>
      <c r="M572" s="9">
        <v>76</v>
      </c>
      <c r="N572" s="9">
        <v>97.2</v>
      </c>
      <c r="O572" s="10">
        <f t="shared" si="96"/>
        <v>27.894736842105267</v>
      </c>
      <c r="P572" s="11">
        <v>47.2</v>
      </c>
      <c r="Q572" s="11">
        <v>3.34</v>
      </c>
      <c r="R572" s="33">
        <f t="shared" si="95"/>
        <v>-92.923728813559308</v>
      </c>
      <c r="S572" s="37">
        <f t="shared" si="89"/>
        <v>1.6646419755561255</v>
      </c>
      <c r="T572" s="37">
        <f t="shared" si="90"/>
        <v>2.8638890850792857</v>
      </c>
      <c r="U572" s="42">
        <f t="shared" si="91"/>
        <v>2.8808135922807914</v>
      </c>
      <c r="V572" s="41">
        <f t="shared" si="92"/>
        <v>2.4455222686479603</v>
      </c>
      <c r="W572" s="43">
        <f t="shared" si="93"/>
        <v>2.673941998634088</v>
      </c>
      <c r="X572" s="43" t="e">
        <f t="shared" si="94"/>
        <v>#NUM!</v>
      </c>
    </row>
    <row r="573" spans="1:24" ht="14.25" customHeight="1">
      <c r="A573" s="49"/>
      <c r="B573" s="8">
        <v>4.8</v>
      </c>
      <c r="C573" s="8">
        <f t="shared" si="88"/>
        <v>2.4</v>
      </c>
      <c r="D573" s="16" t="s">
        <v>25</v>
      </c>
      <c r="E573" s="12" t="s">
        <v>58</v>
      </c>
      <c r="F573" s="17" t="s">
        <v>34</v>
      </c>
      <c r="G573" s="17" t="s">
        <v>35</v>
      </c>
      <c r="H573" s="17" t="s">
        <v>29</v>
      </c>
      <c r="I573" s="17" t="s">
        <v>36</v>
      </c>
      <c r="J573" s="8">
        <v>4.62</v>
      </c>
      <c r="K573" s="8">
        <v>8.5419999999999998</v>
      </c>
      <c r="L573" s="8">
        <f t="shared" si="97"/>
        <v>84.891774891774887</v>
      </c>
      <c r="M573" s="9">
        <v>76</v>
      </c>
      <c r="N573" s="9">
        <v>92.7</v>
      </c>
      <c r="O573" s="10">
        <f t="shared" si="96"/>
        <v>21.973684210526319</v>
      </c>
      <c r="P573" s="11">
        <v>47.2</v>
      </c>
      <c r="Q573" s="11">
        <v>1.92</v>
      </c>
      <c r="R573" s="33">
        <f t="shared" si="95"/>
        <v>-95.932203389830505</v>
      </c>
      <c r="S573" s="37">
        <f t="shared" si="89"/>
        <v>1.6646419755561255</v>
      </c>
      <c r="T573" s="37">
        <f t="shared" si="90"/>
        <v>2.9288656137756397</v>
      </c>
      <c r="U573" s="42">
        <f t="shared" si="91"/>
        <v>2.8808135922807914</v>
      </c>
      <c r="V573" s="41">
        <f t="shared" si="92"/>
        <v>2.3419028788667919</v>
      </c>
      <c r="W573" s="43">
        <f t="shared" si="93"/>
        <v>2.673941998634088</v>
      </c>
      <c r="X573" s="43" t="e">
        <f t="shared" si="94"/>
        <v>#NUM!</v>
      </c>
    </row>
    <row r="574" spans="1:24" ht="14.25" customHeight="1">
      <c r="A574" s="49"/>
      <c r="B574" s="8">
        <v>7.2</v>
      </c>
      <c r="C574" s="8">
        <f t="shared" si="88"/>
        <v>3.6</v>
      </c>
      <c r="D574" s="16" t="s">
        <v>25</v>
      </c>
      <c r="E574" s="12" t="s">
        <v>58</v>
      </c>
      <c r="F574" s="17" t="s">
        <v>34</v>
      </c>
      <c r="G574" s="17" t="s">
        <v>35</v>
      </c>
      <c r="H574" s="17" t="s">
        <v>29</v>
      </c>
      <c r="I574" s="17" t="s">
        <v>36</v>
      </c>
      <c r="J574" s="8">
        <v>4.62</v>
      </c>
      <c r="K574" s="8">
        <v>8.6760000000000002</v>
      </c>
      <c r="L574" s="8">
        <f t="shared" si="97"/>
        <v>87.79220779220779</v>
      </c>
      <c r="M574" s="9">
        <v>76</v>
      </c>
      <c r="N574" s="9">
        <v>79.8</v>
      </c>
      <c r="O574" s="10">
        <f t="shared" si="96"/>
        <v>4.9999999999999964</v>
      </c>
      <c r="P574" s="11">
        <v>47.2</v>
      </c>
      <c r="Q574" s="11">
        <v>1.5</v>
      </c>
      <c r="R574" s="33">
        <f t="shared" si="95"/>
        <v>-96.822033898305079</v>
      </c>
      <c r="S574" s="37">
        <f t="shared" si="89"/>
        <v>1.6646419755561255</v>
      </c>
      <c r="T574" s="37">
        <f t="shared" si="90"/>
        <v>2.9434559707691541</v>
      </c>
      <c r="U574" s="42">
        <f t="shared" si="91"/>
        <v>2.8808135922807914</v>
      </c>
      <c r="V574" s="41">
        <f t="shared" si="92"/>
        <v>1.6989700043360185</v>
      </c>
      <c r="W574" s="43">
        <f t="shared" si="93"/>
        <v>2.673941998634088</v>
      </c>
      <c r="X574" s="43" t="e">
        <f t="shared" si="94"/>
        <v>#NUM!</v>
      </c>
    </row>
    <row r="575" spans="1:24" ht="14.25" customHeight="1">
      <c r="A575" s="50"/>
      <c r="B575" s="8">
        <v>4.7</v>
      </c>
      <c r="C575" s="8">
        <f t="shared" si="88"/>
        <v>2.35</v>
      </c>
      <c r="D575" s="16" t="s">
        <v>25</v>
      </c>
      <c r="E575" s="12" t="s">
        <v>58</v>
      </c>
      <c r="F575" s="17" t="s">
        <v>112</v>
      </c>
      <c r="G575" s="17" t="s">
        <v>204</v>
      </c>
      <c r="H575" s="17" t="s">
        <v>29</v>
      </c>
      <c r="I575" s="17" t="s">
        <v>36</v>
      </c>
      <c r="J575" s="8">
        <v>4.62</v>
      </c>
      <c r="K575" s="8">
        <v>6.1680000000000001</v>
      </c>
      <c r="L575" s="8">
        <f t="shared" si="97"/>
        <v>33.506493506493506</v>
      </c>
      <c r="M575" s="9">
        <v>76</v>
      </c>
      <c r="N575" s="9">
        <v>82.8</v>
      </c>
      <c r="O575" s="10">
        <f t="shared" si="96"/>
        <v>8.9473684210526283</v>
      </c>
      <c r="P575" s="11">
        <v>47.2</v>
      </c>
      <c r="Q575" s="11">
        <v>11.6</v>
      </c>
      <c r="R575" s="33">
        <f t="shared" si="95"/>
        <v>-75.423728813559322</v>
      </c>
      <c r="S575" s="37">
        <f t="shared" si="89"/>
        <v>1.6646419755561255</v>
      </c>
      <c r="T575" s="37">
        <f t="shared" si="90"/>
        <v>2.5251289807907482</v>
      </c>
      <c r="U575" s="42">
        <f t="shared" si="91"/>
        <v>2.8808135922807914</v>
      </c>
      <c r="V575" s="41">
        <f t="shared" si="92"/>
        <v>1.9516953204254448</v>
      </c>
      <c r="W575" s="43">
        <f t="shared" si="93"/>
        <v>2.673941998634088</v>
      </c>
      <c r="X575" s="43" t="e">
        <f t="shared" si="94"/>
        <v>#NUM!</v>
      </c>
    </row>
    <row r="576" spans="1:24" ht="14.25" customHeight="1">
      <c r="A576" s="45" t="s">
        <v>224</v>
      </c>
      <c r="B576" s="8">
        <v>1</v>
      </c>
      <c r="C576" s="8">
        <f t="shared" si="88"/>
        <v>0.5</v>
      </c>
      <c r="D576" s="16" t="s">
        <v>42</v>
      </c>
      <c r="E576" s="12" t="s">
        <v>43</v>
      </c>
      <c r="F576" s="17" t="s">
        <v>34</v>
      </c>
      <c r="G576" s="17" t="s">
        <v>52</v>
      </c>
      <c r="H576" s="17" t="s">
        <v>29</v>
      </c>
      <c r="I576" s="17" t="s">
        <v>36</v>
      </c>
      <c r="J576" s="8">
        <v>97.22</v>
      </c>
      <c r="K576" s="8">
        <v>59.85</v>
      </c>
      <c r="L576" s="8">
        <f t="shared" si="97"/>
        <v>-38.438592882123018</v>
      </c>
      <c r="M576" s="9">
        <v>756.3</v>
      </c>
      <c r="N576" s="9">
        <v>470.74</v>
      </c>
      <c r="O576" s="10">
        <f t="shared" si="96"/>
        <v>-37.757503636123225</v>
      </c>
      <c r="P576" s="11">
        <v>1.9</v>
      </c>
      <c r="Q576" s="11">
        <v>0.96</v>
      </c>
      <c r="R576" s="33">
        <f t="shared" si="95"/>
        <v>-49.473684210526315</v>
      </c>
      <c r="S576" s="37">
        <f t="shared" si="89"/>
        <v>2.9877556167385233</v>
      </c>
      <c r="T576" s="37" t="e">
        <f t="shared" si="90"/>
        <v>#NUM!</v>
      </c>
      <c r="U576" s="42">
        <f t="shared" si="91"/>
        <v>3.8786941003961082</v>
      </c>
      <c r="V576" s="41" t="e">
        <f t="shared" si="92"/>
        <v>#NUM!</v>
      </c>
      <c r="W576" s="43">
        <f t="shared" si="93"/>
        <v>1.2787536009528289</v>
      </c>
      <c r="X576" s="43" t="e">
        <f t="shared" si="94"/>
        <v>#NUM!</v>
      </c>
    </row>
    <row r="577" spans="1:24" ht="14.25" customHeight="1">
      <c r="A577" s="49"/>
      <c r="B577" s="8">
        <v>3</v>
      </c>
      <c r="C577" s="8">
        <f t="shared" si="88"/>
        <v>1.5</v>
      </c>
      <c r="D577" s="16" t="s">
        <v>42</v>
      </c>
      <c r="E577" s="12" t="s">
        <v>43</v>
      </c>
      <c r="F577" s="17" t="s">
        <v>34</v>
      </c>
      <c r="G577" s="17" t="s">
        <v>37</v>
      </c>
      <c r="H577" s="17" t="s">
        <v>29</v>
      </c>
      <c r="I577" s="17" t="s">
        <v>36</v>
      </c>
      <c r="J577" s="8">
        <v>97.22</v>
      </c>
      <c r="K577" s="8">
        <v>72.44</v>
      </c>
      <c r="L577" s="8">
        <f t="shared" si="97"/>
        <v>-25.488582596173625</v>
      </c>
      <c r="M577" s="9">
        <v>756.3</v>
      </c>
      <c r="N577" s="9">
        <v>674.95</v>
      </c>
      <c r="O577" s="10">
        <f t="shared" si="96"/>
        <v>-10.756313632156541</v>
      </c>
      <c r="P577" s="11">
        <v>1.9</v>
      </c>
      <c r="Q577" s="11">
        <v>1.59</v>
      </c>
      <c r="R577" s="33">
        <f t="shared" si="95"/>
        <v>-16.315789473684202</v>
      </c>
      <c r="S577" s="37">
        <f t="shared" si="89"/>
        <v>2.9877556167385233</v>
      </c>
      <c r="T577" s="37" t="e">
        <f t="shared" si="90"/>
        <v>#NUM!</v>
      </c>
      <c r="U577" s="42">
        <f t="shared" si="91"/>
        <v>3.8786941003961082</v>
      </c>
      <c r="V577" s="41" t="e">
        <f t="shared" si="92"/>
        <v>#NUM!</v>
      </c>
      <c r="W577" s="43">
        <f t="shared" si="93"/>
        <v>1.2787536009528289</v>
      </c>
      <c r="X577" s="43" t="e">
        <f t="shared" si="94"/>
        <v>#NUM!</v>
      </c>
    </row>
    <row r="578" spans="1:24" ht="14.25" customHeight="1">
      <c r="A578" s="49"/>
      <c r="B578" s="8">
        <v>5</v>
      </c>
      <c r="C578" s="8">
        <f t="shared" si="88"/>
        <v>2.5</v>
      </c>
      <c r="D578" s="16" t="s">
        <v>42</v>
      </c>
      <c r="E578" s="12" t="s">
        <v>43</v>
      </c>
      <c r="F578" s="17" t="s">
        <v>34</v>
      </c>
      <c r="G578" s="17" t="s">
        <v>37</v>
      </c>
      <c r="H578" s="17" t="s">
        <v>29</v>
      </c>
      <c r="I578" s="17" t="s">
        <v>36</v>
      </c>
      <c r="J578" s="8">
        <v>97.22</v>
      </c>
      <c r="K578" s="8">
        <v>83.58</v>
      </c>
      <c r="L578" s="8">
        <f t="shared" si="97"/>
        <v>-14.030034972227936</v>
      </c>
      <c r="M578" s="9">
        <v>756.3</v>
      </c>
      <c r="N578" s="9">
        <v>734.84</v>
      </c>
      <c r="O578" s="10">
        <f t="shared" si="96"/>
        <v>-2.837498347216703</v>
      </c>
      <c r="P578" s="11">
        <v>1.9</v>
      </c>
      <c r="Q578" s="11">
        <v>1.75</v>
      </c>
      <c r="R578" s="33">
        <f t="shared" si="95"/>
        <v>-7.8947368421052584</v>
      </c>
      <c r="S578" s="37">
        <f t="shared" si="89"/>
        <v>2.9877556167385233</v>
      </c>
      <c r="T578" s="37" t="e">
        <f t="shared" si="90"/>
        <v>#NUM!</v>
      </c>
      <c r="U578" s="42">
        <f t="shared" si="91"/>
        <v>3.8786941003961082</v>
      </c>
      <c r="V578" s="41" t="e">
        <f t="shared" si="92"/>
        <v>#NUM!</v>
      </c>
      <c r="W578" s="43">
        <f t="shared" si="93"/>
        <v>1.2787536009528289</v>
      </c>
      <c r="X578" s="43" t="e">
        <f t="shared" si="94"/>
        <v>#NUM!</v>
      </c>
    </row>
    <row r="579" spans="1:24" ht="14.25" customHeight="1">
      <c r="A579" s="49"/>
      <c r="B579" s="8">
        <v>7</v>
      </c>
      <c r="C579" s="8">
        <f t="shared" si="88"/>
        <v>3.5</v>
      </c>
      <c r="D579" s="16" t="s">
        <v>42</v>
      </c>
      <c r="E579" s="12" t="s">
        <v>43</v>
      </c>
      <c r="F579" s="17" t="s">
        <v>34</v>
      </c>
      <c r="G579" s="17" t="s">
        <v>52</v>
      </c>
      <c r="H579" s="17" t="s">
        <v>29</v>
      </c>
      <c r="I579" s="17" t="s">
        <v>36</v>
      </c>
      <c r="J579" s="8">
        <v>97.22</v>
      </c>
      <c r="K579" s="8">
        <v>86.03</v>
      </c>
      <c r="L579" s="8">
        <f t="shared" si="97"/>
        <v>-11.509977370911333</v>
      </c>
      <c r="M579" s="9">
        <v>756.3</v>
      </c>
      <c r="N579" s="9">
        <v>741.71</v>
      </c>
      <c r="O579" s="10">
        <f t="shared" si="96"/>
        <v>-1.9291286526510538</v>
      </c>
      <c r="P579" s="11">
        <v>1.9</v>
      </c>
      <c r="Q579" s="11">
        <v>1.6</v>
      </c>
      <c r="R579" s="33">
        <f t="shared" si="95"/>
        <v>-15.789473684210517</v>
      </c>
      <c r="S579" s="37">
        <f t="shared" si="89"/>
        <v>2.9877556167385233</v>
      </c>
      <c r="T579" s="37" t="e">
        <f t="shared" si="90"/>
        <v>#NUM!</v>
      </c>
      <c r="U579" s="42">
        <f t="shared" si="91"/>
        <v>3.8786941003961082</v>
      </c>
      <c r="V579" s="41" t="e">
        <f t="shared" si="92"/>
        <v>#NUM!</v>
      </c>
      <c r="W579" s="43">
        <f t="shared" si="93"/>
        <v>1.2787536009528289</v>
      </c>
      <c r="X579" s="43" t="e">
        <f t="shared" si="94"/>
        <v>#NUM!</v>
      </c>
    </row>
    <row r="580" spans="1:24" ht="14.25" customHeight="1">
      <c r="A580" s="50"/>
      <c r="B580" s="8">
        <v>9</v>
      </c>
      <c r="C580" s="8">
        <f t="shared" si="88"/>
        <v>4.5</v>
      </c>
      <c r="D580" s="16" t="s">
        <v>42</v>
      </c>
      <c r="E580" s="12" t="s">
        <v>43</v>
      </c>
      <c r="F580" s="17" t="s">
        <v>34</v>
      </c>
      <c r="G580" s="17" t="s">
        <v>52</v>
      </c>
      <c r="H580" s="17" t="s">
        <v>29</v>
      </c>
      <c r="I580" s="17" t="s">
        <v>36</v>
      </c>
      <c r="J580" s="8">
        <v>97.22</v>
      </c>
      <c r="K580" s="8">
        <v>81.84</v>
      </c>
      <c r="L580" s="8">
        <f t="shared" si="97"/>
        <v>-15.819790166632375</v>
      </c>
      <c r="M580" s="9">
        <v>756.3</v>
      </c>
      <c r="N580" s="9">
        <v>695.75</v>
      </c>
      <c r="O580" s="10">
        <f t="shared" si="96"/>
        <v>-8.0060822424963582</v>
      </c>
      <c r="P580" s="11">
        <v>1.9</v>
      </c>
      <c r="Q580" s="11">
        <v>1.33</v>
      </c>
      <c r="R580" s="33">
        <f t="shared" si="95"/>
        <v>-29.999999999999993</v>
      </c>
      <c r="S580" s="37">
        <f t="shared" ref="S580:S643" si="98">LOG10(J580*10)</f>
        <v>2.9877556167385233</v>
      </c>
      <c r="T580" s="37" t="e">
        <f t="shared" ref="T580:T643" si="99">LOG10(L580*10)</f>
        <v>#NUM!</v>
      </c>
      <c r="U580" s="42">
        <f t="shared" ref="U580:U643" si="100">LOG10(M580*10)</f>
        <v>3.8786941003961082</v>
      </c>
      <c r="V580" s="41" t="e">
        <f t="shared" ref="V580:V643" si="101">LOG10(O580*10)</f>
        <v>#NUM!</v>
      </c>
      <c r="W580" s="43">
        <f t="shared" ref="W580:W643" si="102">LOG10(P580*10)</f>
        <v>1.2787536009528289</v>
      </c>
      <c r="X580" s="43" t="e">
        <f t="shared" ref="X580:X643" si="103">LOG10(R580*10)</f>
        <v>#NUM!</v>
      </c>
    </row>
    <row r="581" spans="1:24" ht="14.25" customHeight="1">
      <c r="A581" s="45" t="s">
        <v>225</v>
      </c>
      <c r="B581" s="8">
        <v>1</v>
      </c>
      <c r="C581" s="8">
        <f t="shared" si="88"/>
        <v>0.5</v>
      </c>
      <c r="D581" s="16" t="s">
        <v>42</v>
      </c>
      <c r="E581" s="12" t="s">
        <v>43</v>
      </c>
      <c r="F581" s="17" t="s">
        <v>112</v>
      </c>
      <c r="G581" s="17" t="s">
        <v>37</v>
      </c>
      <c r="H581" s="17" t="s">
        <v>29</v>
      </c>
      <c r="I581" s="25" t="s">
        <v>36</v>
      </c>
      <c r="J581" s="8">
        <v>5.5</v>
      </c>
      <c r="K581" s="8">
        <v>6.8</v>
      </c>
      <c r="L581" s="8">
        <f t="shared" si="97"/>
        <v>23.636363636363633</v>
      </c>
      <c r="M581" s="9">
        <v>191.4</v>
      </c>
      <c r="N581" s="9">
        <v>234</v>
      </c>
      <c r="O581" s="10">
        <f t="shared" si="96"/>
        <v>22.257053291536046</v>
      </c>
      <c r="P581" s="11" t="s">
        <v>31</v>
      </c>
      <c r="Q581" s="11" t="s">
        <v>31</v>
      </c>
      <c r="R581" s="33" t="s">
        <v>31</v>
      </c>
      <c r="S581" s="37">
        <f t="shared" si="98"/>
        <v>1.7403626894942439</v>
      </c>
      <c r="T581" s="37">
        <f t="shared" si="99"/>
        <v>2.3735806628125928</v>
      </c>
      <c r="U581" s="42">
        <f t="shared" si="100"/>
        <v>3.2819419334408249</v>
      </c>
      <c r="V581" s="41">
        <f t="shared" si="101"/>
        <v>2.347467665661894</v>
      </c>
      <c r="W581" s="43" t="e">
        <f t="shared" si="102"/>
        <v>#VALUE!</v>
      </c>
      <c r="X581" s="43" t="e">
        <f t="shared" si="103"/>
        <v>#VALUE!</v>
      </c>
    </row>
    <row r="582" spans="1:24" ht="14.25" customHeight="1">
      <c r="A582" s="57"/>
      <c r="B582" s="8">
        <v>2</v>
      </c>
      <c r="C582" s="8">
        <f t="shared" si="88"/>
        <v>1</v>
      </c>
      <c r="D582" s="16" t="s">
        <v>42</v>
      </c>
      <c r="E582" s="12" t="s">
        <v>43</v>
      </c>
      <c r="F582" s="17" t="s">
        <v>112</v>
      </c>
      <c r="G582" s="17" t="s">
        <v>37</v>
      </c>
      <c r="H582" s="17" t="s">
        <v>29</v>
      </c>
      <c r="I582" s="25" t="s">
        <v>36</v>
      </c>
      <c r="J582" s="8">
        <v>5.5</v>
      </c>
      <c r="K582" s="8">
        <v>6.9</v>
      </c>
      <c r="L582" s="8">
        <f t="shared" si="97"/>
        <v>25.454545454545464</v>
      </c>
      <c r="M582" s="9">
        <v>191.4</v>
      </c>
      <c r="N582" s="9">
        <v>248.4</v>
      </c>
      <c r="O582" s="10">
        <f t="shared" si="96"/>
        <v>29.780564263322884</v>
      </c>
      <c r="P582" s="11" t="s">
        <v>31</v>
      </c>
      <c r="Q582" s="11" t="s">
        <v>31</v>
      </c>
      <c r="R582" s="33" t="s">
        <v>31</v>
      </c>
      <c r="S582" s="37">
        <f t="shared" si="98"/>
        <v>1.7403626894942439</v>
      </c>
      <c r="T582" s="37">
        <f t="shared" si="99"/>
        <v>2.4057653461839945</v>
      </c>
      <c r="U582" s="42">
        <f t="shared" si="100"/>
        <v>3.2819419334408249</v>
      </c>
      <c r="V582" s="41">
        <f t="shared" si="101"/>
        <v>2.4739329222316666</v>
      </c>
      <c r="W582" s="43" t="e">
        <f t="shared" si="102"/>
        <v>#VALUE!</v>
      </c>
      <c r="X582" s="43" t="e">
        <f t="shared" si="103"/>
        <v>#VALUE!</v>
      </c>
    </row>
    <row r="583" spans="1:24" ht="14.25" customHeight="1">
      <c r="A583" s="57"/>
      <c r="B583" s="8">
        <v>3</v>
      </c>
      <c r="C583" s="8">
        <f t="shared" si="88"/>
        <v>1.5</v>
      </c>
      <c r="D583" s="16" t="s">
        <v>42</v>
      </c>
      <c r="E583" s="12" t="s">
        <v>43</v>
      </c>
      <c r="F583" s="17" t="s">
        <v>112</v>
      </c>
      <c r="G583" s="17" t="s">
        <v>217</v>
      </c>
      <c r="H583" s="17" t="s">
        <v>29</v>
      </c>
      <c r="I583" s="25" t="s">
        <v>36</v>
      </c>
      <c r="J583" s="8">
        <v>5.5</v>
      </c>
      <c r="K583" s="8">
        <v>7.6</v>
      </c>
      <c r="L583" s="8">
        <f t="shared" si="97"/>
        <v>38.18181818181818</v>
      </c>
      <c r="M583" s="9">
        <v>191.4</v>
      </c>
      <c r="N583" s="9">
        <v>267.7</v>
      </c>
      <c r="O583" s="10">
        <f t="shared" si="96"/>
        <v>39.864158829676057</v>
      </c>
      <c r="P583" s="11" t="s">
        <v>31</v>
      </c>
      <c r="Q583" s="11" t="s">
        <v>31</v>
      </c>
      <c r="R583" s="33" t="s">
        <v>31</v>
      </c>
      <c r="S583" s="37">
        <f t="shared" si="98"/>
        <v>1.7403626894942439</v>
      </c>
      <c r="T583" s="37">
        <f t="shared" si="99"/>
        <v>2.5818566052396754</v>
      </c>
      <c r="U583" s="42">
        <f t="shared" si="100"/>
        <v>3.2819419334408249</v>
      </c>
      <c r="V583" s="41">
        <f t="shared" si="101"/>
        <v>2.6005826045140554</v>
      </c>
      <c r="W583" s="43" t="e">
        <f t="shared" si="102"/>
        <v>#VALUE!</v>
      </c>
      <c r="X583" s="43" t="e">
        <f t="shared" si="103"/>
        <v>#VALUE!</v>
      </c>
    </row>
    <row r="584" spans="1:24" ht="14.25" customHeight="1">
      <c r="A584" s="58"/>
      <c r="B584" s="8">
        <v>4</v>
      </c>
      <c r="C584" s="8">
        <f t="shared" si="88"/>
        <v>2</v>
      </c>
      <c r="D584" s="16" t="s">
        <v>42</v>
      </c>
      <c r="E584" s="12" t="s">
        <v>43</v>
      </c>
      <c r="F584" s="17" t="s">
        <v>112</v>
      </c>
      <c r="G584" s="17" t="s">
        <v>37</v>
      </c>
      <c r="H584" s="17" t="s">
        <v>29</v>
      </c>
      <c r="I584" s="25" t="s">
        <v>36</v>
      </c>
      <c r="J584" s="8">
        <v>5.5</v>
      </c>
      <c r="K584" s="8">
        <v>7.1</v>
      </c>
      <c r="L584" s="8">
        <f t="shared" si="97"/>
        <v>29.090909090909083</v>
      </c>
      <c r="M584" s="9">
        <v>191.4</v>
      </c>
      <c r="N584" s="9">
        <v>257.8</v>
      </c>
      <c r="O584" s="10">
        <f t="shared" si="96"/>
        <v>34.691745036572627</v>
      </c>
      <c r="P584" s="11" t="s">
        <v>31</v>
      </c>
      <c r="Q584" s="11" t="s">
        <v>31</v>
      </c>
      <c r="R584" s="33" t="s">
        <v>31</v>
      </c>
      <c r="S584" s="37">
        <f t="shared" si="98"/>
        <v>1.7403626894942439</v>
      </c>
      <c r="T584" s="37">
        <f t="shared" si="99"/>
        <v>2.4637572931616809</v>
      </c>
      <c r="U584" s="42">
        <f t="shared" si="100"/>
        <v>3.2819419334408249</v>
      </c>
      <c r="V584" s="41">
        <f t="shared" si="101"/>
        <v>2.5402261459271926</v>
      </c>
      <c r="W584" s="43" t="e">
        <f t="shared" si="102"/>
        <v>#VALUE!</v>
      </c>
      <c r="X584" s="43" t="e">
        <f t="shared" si="103"/>
        <v>#VALUE!</v>
      </c>
    </row>
    <row r="585" spans="1:24" ht="14.25" customHeight="1">
      <c r="A585" s="45" t="s">
        <v>226</v>
      </c>
      <c r="B585" s="8">
        <v>2</v>
      </c>
      <c r="C585" s="8">
        <f t="shared" ref="C585:C728" si="104">B585/2</f>
        <v>1</v>
      </c>
      <c r="D585" s="16" t="s">
        <v>42</v>
      </c>
      <c r="E585" s="12" t="s">
        <v>43</v>
      </c>
      <c r="F585" s="17" t="s">
        <v>34</v>
      </c>
      <c r="G585" s="17" t="s">
        <v>217</v>
      </c>
      <c r="H585" s="17" t="s">
        <v>29</v>
      </c>
      <c r="I585" s="25" t="s">
        <v>36</v>
      </c>
      <c r="J585" s="8">
        <v>2.0499999999999998</v>
      </c>
      <c r="K585" s="8">
        <v>2.2599999999999998</v>
      </c>
      <c r="L585" s="8">
        <f t="shared" ref="L585:L838" si="105">(K585-J585)/J585*100</f>
        <v>10.24390243902439</v>
      </c>
      <c r="M585" s="9">
        <v>65</v>
      </c>
      <c r="N585" s="9">
        <v>67.400000000000006</v>
      </c>
      <c r="O585" s="10">
        <f t="shared" ref="O585:O648" si="106">(N585-M585)/M585*100</f>
        <v>3.692307692307701</v>
      </c>
      <c r="P585" s="11" t="s">
        <v>31</v>
      </c>
      <c r="Q585" s="11" t="s">
        <v>31</v>
      </c>
      <c r="R585" s="33" t="s">
        <v>31</v>
      </c>
      <c r="S585" s="37">
        <f t="shared" si="98"/>
        <v>1.3117538610557542</v>
      </c>
      <c r="T585" s="37">
        <f t="shared" si="99"/>
        <v>2.0104654336781649</v>
      </c>
      <c r="U585" s="42">
        <f t="shared" si="100"/>
        <v>2.8129133566428557</v>
      </c>
      <c r="V585" s="41">
        <f t="shared" si="101"/>
        <v>1.5672978850687516</v>
      </c>
      <c r="W585" s="43" t="e">
        <f t="shared" si="102"/>
        <v>#VALUE!</v>
      </c>
      <c r="X585" s="43" t="e">
        <f t="shared" si="103"/>
        <v>#VALUE!</v>
      </c>
    </row>
    <row r="586" spans="1:24" ht="14.25" customHeight="1">
      <c r="A586" s="49"/>
      <c r="B586" s="8">
        <v>3</v>
      </c>
      <c r="C586" s="8">
        <f t="shared" si="104"/>
        <v>1.5</v>
      </c>
      <c r="D586" s="16" t="s">
        <v>42</v>
      </c>
      <c r="E586" s="12" t="s">
        <v>43</v>
      </c>
      <c r="F586" s="17" t="s">
        <v>34</v>
      </c>
      <c r="G586" s="17" t="s">
        <v>217</v>
      </c>
      <c r="H586" s="17" t="s">
        <v>29</v>
      </c>
      <c r="I586" s="25" t="s">
        <v>36</v>
      </c>
      <c r="J586" s="8">
        <v>2.0499999999999998</v>
      </c>
      <c r="K586" s="8">
        <v>2.44</v>
      </c>
      <c r="L586" s="8">
        <f t="shared" si="105"/>
        <v>19.024390243902449</v>
      </c>
      <c r="M586" s="9">
        <v>65</v>
      </c>
      <c r="N586" s="9">
        <v>71.5</v>
      </c>
      <c r="O586" s="10">
        <f t="shared" si="106"/>
        <v>10</v>
      </c>
      <c r="P586" s="11" t="s">
        <v>31</v>
      </c>
      <c r="Q586" s="11" t="s">
        <v>31</v>
      </c>
      <c r="R586" s="33" t="s">
        <v>31</v>
      </c>
      <c r="S586" s="37">
        <f t="shared" si="98"/>
        <v>1.3117538610557542</v>
      </c>
      <c r="T586" s="37">
        <f t="shared" si="99"/>
        <v>2.2793107459707449</v>
      </c>
      <c r="U586" s="42">
        <f t="shared" si="100"/>
        <v>2.8129133566428557</v>
      </c>
      <c r="V586" s="41">
        <f t="shared" si="101"/>
        <v>2</v>
      </c>
      <c r="W586" s="43" t="e">
        <f t="shared" si="102"/>
        <v>#VALUE!</v>
      </c>
      <c r="X586" s="43" t="e">
        <f t="shared" si="103"/>
        <v>#VALUE!</v>
      </c>
    </row>
    <row r="587" spans="1:24" ht="14.25" customHeight="1">
      <c r="A587" s="49"/>
      <c r="B587" s="8">
        <v>4</v>
      </c>
      <c r="C587" s="8">
        <f t="shared" si="104"/>
        <v>2</v>
      </c>
      <c r="D587" s="16" t="s">
        <v>42</v>
      </c>
      <c r="E587" s="12" t="s">
        <v>43</v>
      </c>
      <c r="F587" s="17" t="s">
        <v>34</v>
      </c>
      <c r="G587" s="17" t="s">
        <v>217</v>
      </c>
      <c r="H587" s="17" t="s">
        <v>29</v>
      </c>
      <c r="I587" s="25" t="s">
        <v>36</v>
      </c>
      <c r="J587" s="8">
        <v>2.0499999999999998</v>
      </c>
      <c r="K587" s="8">
        <v>2.52</v>
      </c>
      <c r="L587" s="8">
        <f t="shared" si="105"/>
        <v>22.926829268292696</v>
      </c>
      <c r="M587" s="9">
        <v>65</v>
      </c>
      <c r="N587" s="9">
        <v>73.7</v>
      </c>
      <c r="O587" s="10">
        <f t="shared" si="106"/>
        <v>13.384615384615389</v>
      </c>
      <c r="P587" s="11" t="s">
        <v>31</v>
      </c>
      <c r="Q587" s="11" t="s">
        <v>31</v>
      </c>
      <c r="R587" s="33" t="s">
        <v>31</v>
      </c>
      <c r="S587" s="37">
        <f t="shared" si="98"/>
        <v>1.3117538610557542</v>
      </c>
      <c r="T587" s="37">
        <f t="shared" si="99"/>
        <v>2.3603439968799633</v>
      </c>
      <c r="U587" s="42">
        <f t="shared" si="100"/>
        <v>2.8129133566428557</v>
      </c>
      <c r="V587" s="41">
        <f t="shared" si="101"/>
        <v>2.126605895975763</v>
      </c>
      <c r="W587" s="43" t="e">
        <f t="shared" si="102"/>
        <v>#VALUE!</v>
      </c>
      <c r="X587" s="43" t="e">
        <f t="shared" si="103"/>
        <v>#VALUE!</v>
      </c>
    </row>
    <row r="588" spans="1:24" ht="14.25" customHeight="1">
      <c r="A588" s="49"/>
      <c r="B588" s="8">
        <v>5</v>
      </c>
      <c r="C588" s="8">
        <f t="shared" si="104"/>
        <v>2.5</v>
      </c>
      <c r="D588" s="16" t="s">
        <v>42</v>
      </c>
      <c r="E588" s="12" t="s">
        <v>43</v>
      </c>
      <c r="F588" s="17" t="s">
        <v>34</v>
      </c>
      <c r="G588" s="17" t="s">
        <v>227</v>
      </c>
      <c r="H588" s="17" t="s">
        <v>29</v>
      </c>
      <c r="I588" s="25" t="s">
        <v>36</v>
      </c>
      <c r="J588" s="8">
        <v>2.0499999999999998</v>
      </c>
      <c r="K588" s="8">
        <v>2.2999999999999998</v>
      </c>
      <c r="L588" s="8">
        <f t="shared" si="105"/>
        <v>12.195121951219514</v>
      </c>
      <c r="M588" s="9">
        <v>65</v>
      </c>
      <c r="N588" s="9">
        <v>68.599999999999994</v>
      </c>
      <c r="O588" s="10">
        <f t="shared" si="106"/>
        <v>5.5384615384615294</v>
      </c>
      <c r="P588" s="11" t="s">
        <v>31</v>
      </c>
      <c r="Q588" s="11" t="s">
        <v>31</v>
      </c>
      <c r="R588" s="33" t="s">
        <v>31</v>
      </c>
      <c r="S588" s="37">
        <f t="shared" si="98"/>
        <v>1.3117538610557542</v>
      </c>
      <c r="T588" s="37">
        <f t="shared" si="99"/>
        <v>2.0861861476162833</v>
      </c>
      <c r="U588" s="42">
        <f t="shared" si="100"/>
        <v>2.8129133566428557</v>
      </c>
      <c r="V588" s="41">
        <f t="shared" si="101"/>
        <v>1.7433891441244309</v>
      </c>
      <c r="W588" s="43" t="e">
        <f t="shared" si="102"/>
        <v>#VALUE!</v>
      </c>
      <c r="X588" s="43" t="e">
        <f t="shared" si="103"/>
        <v>#VALUE!</v>
      </c>
    </row>
    <row r="589" spans="1:24" ht="14.25" customHeight="1">
      <c r="A589" s="49"/>
      <c r="B589" s="8">
        <v>2</v>
      </c>
      <c r="C589" s="8">
        <f t="shared" si="104"/>
        <v>1</v>
      </c>
      <c r="D589" s="16" t="s">
        <v>42</v>
      </c>
      <c r="E589" s="12" t="s">
        <v>43</v>
      </c>
      <c r="F589" s="17" t="s">
        <v>34</v>
      </c>
      <c r="G589" s="17" t="s">
        <v>217</v>
      </c>
      <c r="H589" s="17" t="s">
        <v>29</v>
      </c>
      <c r="I589" s="17" t="s">
        <v>46</v>
      </c>
      <c r="J589" s="8">
        <v>3.05</v>
      </c>
      <c r="K589" s="8">
        <v>3.09</v>
      </c>
      <c r="L589" s="8">
        <f t="shared" si="105"/>
        <v>1.3114754098360668</v>
      </c>
      <c r="M589" s="9">
        <v>97</v>
      </c>
      <c r="N589" s="9">
        <v>89</v>
      </c>
      <c r="O589" s="10">
        <f t="shared" si="106"/>
        <v>-8.2474226804123703</v>
      </c>
      <c r="P589" s="11" t="s">
        <v>31</v>
      </c>
      <c r="Q589" s="11" t="s">
        <v>31</v>
      </c>
      <c r="R589" s="33" t="s">
        <v>31</v>
      </c>
      <c r="S589" s="37">
        <f t="shared" si="98"/>
        <v>1.4842998393467859</v>
      </c>
      <c r="T589" s="37">
        <f t="shared" si="99"/>
        <v>1.1177601519811771</v>
      </c>
      <c r="U589" s="42">
        <f t="shared" si="100"/>
        <v>2.9867717342662448</v>
      </c>
      <c r="V589" s="41" t="e">
        <f t="shared" si="101"/>
        <v>#NUM!</v>
      </c>
      <c r="W589" s="43" t="e">
        <f t="shared" si="102"/>
        <v>#VALUE!</v>
      </c>
      <c r="X589" s="43" t="e">
        <f t="shared" si="103"/>
        <v>#VALUE!</v>
      </c>
    </row>
    <row r="590" spans="1:24" ht="14.25" customHeight="1">
      <c r="A590" s="49"/>
      <c r="B590" s="8">
        <v>3</v>
      </c>
      <c r="C590" s="8">
        <f t="shared" si="104"/>
        <v>1.5</v>
      </c>
      <c r="D590" s="16" t="s">
        <v>42</v>
      </c>
      <c r="E590" s="12" t="s">
        <v>43</v>
      </c>
      <c r="F590" s="17" t="s">
        <v>34</v>
      </c>
      <c r="G590" s="17" t="s">
        <v>217</v>
      </c>
      <c r="H590" s="17" t="s">
        <v>29</v>
      </c>
      <c r="I590" s="17" t="s">
        <v>46</v>
      </c>
      <c r="J590" s="8">
        <v>3.05</v>
      </c>
      <c r="K590" s="8">
        <v>3.33</v>
      </c>
      <c r="L590" s="8">
        <f t="shared" si="105"/>
        <v>9.1803278688524692</v>
      </c>
      <c r="M590" s="9">
        <v>97</v>
      </c>
      <c r="N590" s="9">
        <v>99</v>
      </c>
      <c r="O590" s="10">
        <f t="shared" si="106"/>
        <v>2.0618556701030926</v>
      </c>
      <c r="P590" s="11" t="s">
        <v>31</v>
      </c>
      <c r="Q590" s="11" t="s">
        <v>31</v>
      </c>
      <c r="R590" s="33" t="s">
        <v>31</v>
      </c>
      <c r="S590" s="37">
        <f t="shared" si="98"/>
        <v>1.4842998393467859</v>
      </c>
      <c r="T590" s="37">
        <f t="shared" si="99"/>
        <v>1.962858191995434</v>
      </c>
      <c r="U590" s="42">
        <f t="shared" si="100"/>
        <v>2.9867717342662448</v>
      </c>
      <c r="V590" s="41">
        <f t="shared" si="101"/>
        <v>1.3142582613977363</v>
      </c>
      <c r="W590" s="43" t="e">
        <f t="shared" si="102"/>
        <v>#VALUE!</v>
      </c>
      <c r="X590" s="43" t="e">
        <f t="shared" si="103"/>
        <v>#VALUE!</v>
      </c>
    </row>
    <row r="591" spans="1:24" ht="14.25" customHeight="1">
      <c r="A591" s="49"/>
      <c r="B591" s="8">
        <v>4</v>
      </c>
      <c r="C591" s="8">
        <f t="shared" si="104"/>
        <v>2</v>
      </c>
      <c r="D591" s="16" t="s">
        <v>42</v>
      </c>
      <c r="E591" s="12" t="s">
        <v>43</v>
      </c>
      <c r="F591" s="17" t="s">
        <v>34</v>
      </c>
      <c r="G591" s="17" t="s">
        <v>217</v>
      </c>
      <c r="H591" s="17" t="s">
        <v>29</v>
      </c>
      <c r="I591" s="17" t="s">
        <v>46</v>
      </c>
      <c r="J591" s="8">
        <v>3.05</v>
      </c>
      <c r="K591" s="8">
        <v>3.45</v>
      </c>
      <c r="L591" s="8">
        <f t="shared" si="105"/>
        <v>13.114754098360667</v>
      </c>
      <c r="M591" s="9">
        <v>97</v>
      </c>
      <c r="N591" s="9">
        <v>105</v>
      </c>
      <c r="O591" s="10">
        <f t="shared" si="106"/>
        <v>8.2474226804123703</v>
      </c>
      <c r="P591" s="11" t="s">
        <v>31</v>
      </c>
      <c r="Q591" s="11" t="s">
        <v>31</v>
      </c>
      <c r="R591" s="33" t="s">
        <v>31</v>
      </c>
      <c r="S591" s="37">
        <f t="shared" si="98"/>
        <v>1.4842998393467859</v>
      </c>
      <c r="T591" s="37">
        <f t="shared" si="99"/>
        <v>2.1177601519811771</v>
      </c>
      <c r="U591" s="42">
        <f t="shared" si="100"/>
        <v>2.9867717342662448</v>
      </c>
      <c r="V591" s="41">
        <f t="shared" si="101"/>
        <v>1.9163182527256988</v>
      </c>
      <c r="W591" s="43" t="e">
        <f t="shared" si="102"/>
        <v>#VALUE!</v>
      </c>
      <c r="X591" s="43" t="e">
        <f t="shared" si="103"/>
        <v>#VALUE!</v>
      </c>
    </row>
    <row r="592" spans="1:24" ht="14.25" customHeight="1">
      <c r="A592" s="50"/>
      <c r="B592" s="8">
        <v>5</v>
      </c>
      <c r="C592" s="8">
        <f t="shared" si="104"/>
        <v>2.5</v>
      </c>
      <c r="D592" s="16" t="s">
        <v>42</v>
      </c>
      <c r="E592" s="12" t="s">
        <v>43</v>
      </c>
      <c r="F592" s="17" t="s">
        <v>34</v>
      </c>
      <c r="G592" s="17" t="s">
        <v>227</v>
      </c>
      <c r="H592" s="17" t="s">
        <v>29</v>
      </c>
      <c r="I592" s="17" t="s">
        <v>46</v>
      </c>
      <c r="J592" s="8">
        <v>3.05</v>
      </c>
      <c r="K592" s="8">
        <v>3.39</v>
      </c>
      <c r="L592" s="8">
        <f t="shared" si="105"/>
        <v>11.147540983606568</v>
      </c>
      <c r="M592" s="9">
        <v>97</v>
      </c>
      <c r="N592" s="9">
        <v>103</v>
      </c>
      <c r="O592" s="10">
        <f t="shared" si="106"/>
        <v>6.1855670103092786</v>
      </c>
      <c r="P592" s="11" t="s">
        <v>31</v>
      </c>
      <c r="Q592" s="11" t="s">
        <v>31</v>
      </c>
      <c r="R592" s="33" t="s">
        <v>31</v>
      </c>
      <c r="S592" s="37">
        <f t="shared" si="98"/>
        <v>1.4842998393467859</v>
      </c>
      <c r="T592" s="37">
        <f t="shared" si="99"/>
        <v>2.0471790776954699</v>
      </c>
      <c r="U592" s="42">
        <f t="shared" si="100"/>
        <v>2.9867717342662448</v>
      </c>
      <c r="V592" s="41">
        <f t="shared" si="101"/>
        <v>1.7913795161173989</v>
      </c>
      <c r="W592" s="43" t="e">
        <f t="shared" si="102"/>
        <v>#VALUE!</v>
      </c>
      <c r="X592" s="43" t="e">
        <f t="shared" si="103"/>
        <v>#VALUE!</v>
      </c>
    </row>
    <row r="593" spans="1:24" ht="14.25" customHeight="1">
      <c r="A593" s="45" t="s">
        <v>228</v>
      </c>
      <c r="B593" s="8">
        <v>1</v>
      </c>
      <c r="C593" s="8">
        <f t="shared" si="104"/>
        <v>0.5</v>
      </c>
      <c r="D593" s="16" t="s">
        <v>25</v>
      </c>
      <c r="E593" s="12" t="s">
        <v>58</v>
      </c>
      <c r="F593" s="17" t="s">
        <v>34</v>
      </c>
      <c r="G593" s="17" t="s">
        <v>37</v>
      </c>
      <c r="H593" s="17" t="s">
        <v>29</v>
      </c>
      <c r="I593" s="17" t="s">
        <v>36</v>
      </c>
      <c r="J593" s="8">
        <v>2.6469999999999998</v>
      </c>
      <c r="K593" s="8">
        <v>2.5</v>
      </c>
      <c r="L593" s="8">
        <f t="shared" si="105"/>
        <v>-5.5534567434831814</v>
      </c>
      <c r="M593" s="9">
        <v>65.5</v>
      </c>
      <c r="N593" s="9">
        <v>53</v>
      </c>
      <c r="O593" s="10">
        <f t="shared" si="106"/>
        <v>-19.083969465648856</v>
      </c>
      <c r="P593" s="11" t="s">
        <v>31</v>
      </c>
      <c r="Q593" s="11" t="s">
        <v>31</v>
      </c>
      <c r="R593" s="33" t="s">
        <v>31</v>
      </c>
      <c r="S593" s="37">
        <f t="shared" si="98"/>
        <v>1.4227539413013481</v>
      </c>
      <c r="T593" s="37" t="e">
        <f t="shared" si="99"/>
        <v>#NUM!</v>
      </c>
      <c r="U593" s="42">
        <f t="shared" si="100"/>
        <v>2.8162412999917832</v>
      </c>
      <c r="V593" s="41" t="e">
        <f t="shared" si="101"/>
        <v>#NUM!</v>
      </c>
      <c r="W593" s="43" t="e">
        <f t="shared" si="102"/>
        <v>#VALUE!</v>
      </c>
      <c r="X593" s="43" t="e">
        <f t="shared" si="103"/>
        <v>#VALUE!</v>
      </c>
    </row>
    <row r="594" spans="1:24" ht="14.25" customHeight="1">
      <c r="A594" s="49"/>
      <c r="B594" s="8">
        <v>3</v>
      </c>
      <c r="C594" s="8">
        <f t="shared" si="104"/>
        <v>1.5</v>
      </c>
      <c r="D594" s="16" t="s">
        <v>25</v>
      </c>
      <c r="E594" s="12" t="s">
        <v>58</v>
      </c>
      <c r="F594" s="17" t="s">
        <v>34</v>
      </c>
      <c r="G594" s="17" t="s">
        <v>37</v>
      </c>
      <c r="H594" s="17" t="s">
        <v>29</v>
      </c>
      <c r="I594" s="17" t="s">
        <v>36</v>
      </c>
      <c r="J594" s="8">
        <v>2.6469999999999998</v>
      </c>
      <c r="K594" s="8">
        <v>2.75</v>
      </c>
      <c r="L594" s="8">
        <f t="shared" si="105"/>
        <v>3.8911975821685005</v>
      </c>
      <c r="M594" s="9">
        <v>65.5</v>
      </c>
      <c r="N594" s="9">
        <v>58</v>
      </c>
      <c r="O594" s="10">
        <f t="shared" si="106"/>
        <v>-11.450381679389313</v>
      </c>
      <c r="P594" s="11" t="s">
        <v>31</v>
      </c>
      <c r="Q594" s="11" t="s">
        <v>31</v>
      </c>
      <c r="R594" s="33" t="s">
        <v>31</v>
      </c>
      <c r="S594" s="37">
        <f t="shared" si="98"/>
        <v>1.4227539413013481</v>
      </c>
      <c r="T594" s="37">
        <f t="shared" si="99"/>
        <v>1.5900832834038248</v>
      </c>
      <c r="U594" s="42">
        <f t="shared" si="100"/>
        <v>2.8162412999917832</v>
      </c>
      <c r="V594" s="41" t="e">
        <f t="shared" si="101"/>
        <v>#NUM!</v>
      </c>
      <c r="W594" s="43" t="e">
        <f t="shared" si="102"/>
        <v>#VALUE!</v>
      </c>
      <c r="X594" s="43" t="e">
        <f t="shared" si="103"/>
        <v>#VALUE!</v>
      </c>
    </row>
    <row r="595" spans="1:24" ht="14.25" customHeight="1">
      <c r="A595" s="49"/>
      <c r="B595" s="8">
        <v>5</v>
      </c>
      <c r="C595" s="8">
        <f t="shared" si="104"/>
        <v>2.5</v>
      </c>
      <c r="D595" s="16" t="s">
        <v>25</v>
      </c>
      <c r="E595" s="12" t="s">
        <v>58</v>
      </c>
      <c r="F595" s="17" t="s">
        <v>34</v>
      </c>
      <c r="G595" s="17" t="s">
        <v>37</v>
      </c>
      <c r="H595" s="17" t="s">
        <v>29</v>
      </c>
      <c r="I595" s="17" t="s">
        <v>36</v>
      </c>
      <c r="J595" s="8">
        <v>2.6469999999999998</v>
      </c>
      <c r="K595" s="8">
        <v>3</v>
      </c>
      <c r="L595" s="8">
        <f t="shared" si="105"/>
        <v>13.335851907820182</v>
      </c>
      <c r="M595" s="9">
        <v>65.5</v>
      </c>
      <c r="N595" s="9">
        <v>0</v>
      </c>
      <c r="O595" s="10">
        <f t="shared" si="106"/>
        <v>-100</v>
      </c>
      <c r="P595" s="11" t="s">
        <v>31</v>
      </c>
      <c r="Q595" s="11" t="s">
        <v>31</v>
      </c>
      <c r="R595" s="33" t="s">
        <v>31</v>
      </c>
      <c r="S595" s="37">
        <f t="shared" si="98"/>
        <v>1.4227539413013481</v>
      </c>
      <c r="T595" s="37">
        <f t="shared" si="99"/>
        <v>2.1250207640864747</v>
      </c>
      <c r="U595" s="42">
        <f t="shared" si="100"/>
        <v>2.8162412999917832</v>
      </c>
      <c r="V595" s="41" t="e">
        <f t="shared" si="101"/>
        <v>#NUM!</v>
      </c>
      <c r="W595" s="43" t="e">
        <f t="shared" si="102"/>
        <v>#VALUE!</v>
      </c>
      <c r="X595" s="43" t="e">
        <f t="shared" si="103"/>
        <v>#VALUE!</v>
      </c>
    </row>
    <row r="596" spans="1:24" ht="14.25" customHeight="1">
      <c r="A596" s="49"/>
      <c r="B596" s="8">
        <v>1</v>
      </c>
      <c r="C596" s="8">
        <f t="shared" si="104"/>
        <v>0.5</v>
      </c>
      <c r="D596" s="16" t="s">
        <v>25</v>
      </c>
      <c r="E596" s="12" t="s">
        <v>58</v>
      </c>
      <c r="F596" s="17" t="s">
        <v>34</v>
      </c>
      <c r="G596" s="17" t="s">
        <v>217</v>
      </c>
      <c r="H596" s="17" t="s">
        <v>29</v>
      </c>
      <c r="I596" s="17" t="s">
        <v>36</v>
      </c>
      <c r="J596" s="8">
        <v>2.6469999999999998</v>
      </c>
      <c r="K596" s="8">
        <v>3.25</v>
      </c>
      <c r="L596" s="8">
        <f t="shared" si="105"/>
        <v>22.780506233471865</v>
      </c>
      <c r="M596" s="9">
        <v>65.5</v>
      </c>
      <c r="N596" s="9">
        <v>63</v>
      </c>
      <c r="O596" s="10">
        <f t="shared" si="106"/>
        <v>-3.8167938931297711</v>
      </c>
      <c r="P596" s="11" t="s">
        <v>31</v>
      </c>
      <c r="Q596" s="11" t="s">
        <v>31</v>
      </c>
      <c r="R596" s="33" t="s">
        <v>31</v>
      </c>
      <c r="S596" s="37">
        <f t="shared" si="98"/>
        <v>1.4227539413013481</v>
      </c>
      <c r="T596" s="37">
        <f t="shared" si="99"/>
        <v>2.3575633708388031</v>
      </c>
      <c r="U596" s="42">
        <f t="shared" si="100"/>
        <v>2.8162412999917832</v>
      </c>
      <c r="V596" s="41" t="e">
        <f t="shared" si="101"/>
        <v>#NUM!</v>
      </c>
      <c r="W596" s="43" t="e">
        <f t="shared" si="102"/>
        <v>#VALUE!</v>
      </c>
      <c r="X596" s="43" t="e">
        <f t="shared" si="103"/>
        <v>#VALUE!</v>
      </c>
    </row>
    <row r="597" spans="1:24" ht="14.25" customHeight="1">
      <c r="A597" s="49"/>
      <c r="B597" s="8">
        <v>3</v>
      </c>
      <c r="C597" s="8">
        <f t="shared" si="104"/>
        <v>1.5</v>
      </c>
      <c r="D597" s="16" t="s">
        <v>25</v>
      </c>
      <c r="E597" s="12" t="s">
        <v>58</v>
      </c>
      <c r="F597" s="17" t="s">
        <v>34</v>
      </c>
      <c r="G597" s="17" t="s">
        <v>217</v>
      </c>
      <c r="H597" s="17" t="s">
        <v>29</v>
      </c>
      <c r="I597" s="17" t="s">
        <v>36</v>
      </c>
      <c r="J597" s="8">
        <v>2.6469999999999998</v>
      </c>
      <c r="K597" s="8">
        <v>3.5</v>
      </c>
      <c r="L597" s="8">
        <f t="shared" si="105"/>
        <v>32.225160559123545</v>
      </c>
      <c r="M597" s="9">
        <v>65.5</v>
      </c>
      <c r="N597" s="9">
        <v>66</v>
      </c>
      <c r="O597" s="10">
        <f t="shared" si="106"/>
        <v>0.76335877862595414</v>
      </c>
      <c r="P597" s="11" t="s">
        <v>31</v>
      </c>
      <c r="Q597" s="11" t="s">
        <v>31</v>
      </c>
      <c r="R597" s="33" t="s">
        <v>31</v>
      </c>
      <c r="S597" s="37">
        <f t="shared" si="98"/>
        <v>1.4227539413013481</v>
      </c>
      <c r="T597" s="37">
        <f t="shared" si="99"/>
        <v>2.5081950898661751</v>
      </c>
      <c r="U597" s="42">
        <f t="shared" si="100"/>
        <v>2.8162412999917832</v>
      </c>
      <c r="V597" s="41">
        <f t="shared" si="101"/>
        <v>0.88272870434423567</v>
      </c>
      <c r="W597" s="43" t="e">
        <f t="shared" si="102"/>
        <v>#VALUE!</v>
      </c>
      <c r="X597" s="43" t="e">
        <f t="shared" si="103"/>
        <v>#VALUE!</v>
      </c>
    </row>
    <row r="598" spans="1:24" ht="14.25" customHeight="1">
      <c r="A598" s="50"/>
      <c r="B598" s="8">
        <v>5</v>
      </c>
      <c r="C598" s="8">
        <f t="shared" si="104"/>
        <v>2.5</v>
      </c>
      <c r="D598" s="16" t="s">
        <v>25</v>
      </c>
      <c r="E598" s="12" t="s">
        <v>58</v>
      </c>
      <c r="F598" s="17" t="s">
        <v>34</v>
      </c>
      <c r="G598" s="17" t="s">
        <v>217</v>
      </c>
      <c r="H598" s="17" t="s">
        <v>29</v>
      </c>
      <c r="I598" s="17" t="s">
        <v>36</v>
      </c>
      <c r="J598" s="8">
        <v>2.6469999999999998</v>
      </c>
      <c r="K598" s="8">
        <v>3.25</v>
      </c>
      <c r="L598" s="8">
        <f t="shared" si="105"/>
        <v>22.780506233471865</v>
      </c>
      <c r="M598" s="9">
        <v>65.5</v>
      </c>
      <c r="N598" s="9">
        <v>63</v>
      </c>
      <c r="O598" s="10">
        <f t="shared" si="106"/>
        <v>-3.8167938931297711</v>
      </c>
      <c r="P598" s="11" t="s">
        <v>31</v>
      </c>
      <c r="Q598" s="11" t="s">
        <v>31</v>
      </c>
      <c r="R598" s="33" t="s">
        <v>31</v>
      </c>
      <c r="S598" s="37">
        <f t="shared" si="98"/>
        <v>1.4227539413013481</v>
      </c>
      <c r="T598" s="37">
        <f t="shared" si="99"/>
        <v>2.3575633708388031</v>
      </c>
      <c r="U598" s="42">
        <f t="shared" si="100"/>
        <v>2.8162412999917832</v>
      </c>
      <c r="V598" s="41" t="e">
        <f t="shared" si="101"/>
        <v>#NUM!</v>
      </c>
      <c r="W598" s="43" t="e">
        <f t="shared" si="102"/>
        <v>#VALUE!</v>
      </c>
      <c r="X598" s="43" t="e">
        <f t="shared" si="103"/>
        <v>#VALUE!</v>
      </c>
    </row>
    <row r="599" spans="1:24" ht="14.25" customHeight="1">
      <c r="A599" s="45" t="s">
        <v>229</v>
      </c>
      <c r="B599" s="8">
        <v>2</v>
      </c>
      <c r="C599" s="8">
        <f t="shared" si="104"/>
        <v>1</v>
      </c>
      <c r="D599" s="16" t="s">
        <v>25</v>
      </c>
      <c r="E599" s="12" t="s">
        <v>230</v>
      </c>
      <c r="F599" s="17" t="s">
        <v>34</v>
      </c>
      <c r="G599" s="17" t="s">
        <v>217</v>
      </c>
      <c r="H599" s="17" t="s">
        <v>29</v>
      </c>
      <c r="I599" s="17" t="s">
        <v>36</v>
      </c>
      <c r="J599" s="8">
        <v>0.86299999999999999</v>
      </c>
      <c r="K599" s="8">
        <v>1.117</v>
      </c>
      <c r="L599" s="8">
        <f t="shared" si="105"/>
        <v>29.432213209733487</v>
      </c>
      <c r="M599" s="9">
        <v>47.13</v>
      </c>
      <c r="N599" s="9">
        <v>52.04</v>
      </c>
      <c r="O599" s="10">
        <f t="shared" si="106"/>
        <v>10.4179927859113</v>
      </c>
      <c r="P599" s="11">
        <v>4.8</v>
      </c>
      <c r="Q599" s="11">
        <v>3.58</v>
      </c>
      <c r="R599" s="33">
        <f t="shared" ref="R599:R662" si="107">((Q599-P599)/P599)*100</f>
        <v>-25.416666666666664</v>
      </c>
      <c r="S599" s="37">
        <f t="shared" si="98"/>
        <v>0.93601079571520951</v>
      </c>
      <c r="T599" s="37">
        <f t="shared" si="99"/>
        <v>2.4688229209047283</v>
      </c>
      <c r="U599" s="42">
        <f t="shared" si="100"/>
        <v>2.6732974397596356</v>
      </c>
      <c r="V599" s="41">
        <f t="shared" si="101"/>
        <v>2.0177840523633321</v>
      </c>
      <c r="W599" s="43">
        <f t="shared" si="102"/>
        <v>1.6812412373755872</v>
      </c>
      <c r="X599" s="43" t="e">
        <f t="shared" si="103"/>
        <v>#NUM!</v>
      </c>
    </row>
    <row r="600" spans="1:24" ht="14.25" customHeight="1">
      <c r="A600" s="46"/>
      <c r="B600" s="8">
        <v>4</v>
      </c>
      <c r="C600" s="8">
        <f t="shared" si="104"/>
        <v>2</v>
      </c>
      <c r="D600" s="16" t="s">
        <v>25</v>
      </c>
      <c r="E600" s="12" t="s">
        <v>230</v>
      </c>
      <c r="F600" s="17" t="s">
        <v>34</v>
      </c>
      <c r="G600" s="17" t="s">
        <v>217</v>
      </c>
      <c r="H600" s="17" t="s">
        <v>29</v>
      </c>
      <c r="I600" s="17" t="s">
        <v>36</v>
      </c>
      <c r="J600" s="8">
        <v>0.86299999999999999</v>
      </c>
      <c r="K600" s="8">
        <v>1.2330000000000001</v>
      </c>
      <c r="L600" s="8">
        <f t="shared" si="105"/>
        <v>42.8736964078795</v>
      </c>
      <c r="M600" s="9">
        <v>47.13</v>
      </c>
      <c r="N600" s="9">
        <v>54.62</v>
      </c>
      <c r="O600" s="10">
        <f t="shared" si="106"/>
        <v>15.892213027795449</v>
      </c>
      <c r="P600" s="11">
        <v>4.8</v>
      </c>
      <c r="Q600" s="11">
        <v>3.18</v>
      </c>
      <c r="R600" s="33">
        <f t="shared" si="107"/>
        <v>-33.75</v>
      </c>
      <c r="S600" s="37">
        <f t="shared" si="98"/>
        <v>0.93601079571520951</v>
      </c>
      <c r="T600" s="37">
        <f t="shared" si="99"/>
        <v>2.6321909283517857</v>
      </c>
      <c r="U600" s="42">
        <f t="shared" si="100"/>
        <v>2.6732974397596356</v>
      </c>
      <c r="V600" s="41">
        <f t="shared" si="101"/>
        <v>2.2011843779398306</v>
      </c>
      <c r="W600" s="43">
        <f t="shared" si="102"/>
        <v>1.6812412373755872</v>
      </c>
      <c r="X600" s="43" t="e">
        <f t="shared" si="103"/>
        <v>#NUM!</v>
      </c>
    </row>
    <row r="601" spans="1:24" ht="14.25" customHeight="1">
      <c r="A601" s="46"/>
      <c r="B601" s="8">
        <v>5</v>
      </c>
      <c r="C601" s="8">
        <f t="shared" si="104"/>
        <v>2.5</v>
      </c>
      <c r="D601" s="16" t="s">
        <v>25</v>
      </c>
      <c r="E601" s="12" t="s">
        <v>230</v>
      </c>
      <c r="F601" s="17" t="s">
        <v>34</v>
      </c>
      <c r="G601" s="17" t="s">
        <v>217</v>
      </c>
      <c r="H601" s="17" t="s">
        <v>29</v>
      </c>
      <c r="I601" s="17" t="s">
        <v>36</v>
      </c>
      <c r="J601" s="8">
        <v>0.86299999999999999</v>
      </c>
      <c r="K601" s="8">
        <v>1.264</v>
      </c>
      <c r="L601" s="8">
        <f t="shared" si="105"/>
        <v>46.465816917728858</v>
      </c>
      <c r="M601" s="9">
        <v>47.13</v>
      </c>
      <c r="N601" s="9">
        <v>54.84</v>
      </c>
      <c r="O601" s="10">
        <f t="shared" si="106"/>
        <v>16.35900700190961</v>
      </c>
      <c r="P601" s="11">
        <v>4.8</v>
      </c>
      <c r="Q601" s="11">
        <v>3.07</v>
      </c>
      <c r="R601" s="33">
        <f t="shared" si="107"/>
        <v>-36.041666666666664</v>
      </c>
      <c r="S601" s="37">
        <f t="shared" si="98"/>
        <v>0.93601079571520951</v>
      </c>
      <c r="T601" s="37">
        <f t="shared" si="99"/>
        <v>2.6671335769049729</v>
      </c>
      <c r="U601" s="42">
        <f t="shared" si="100"/>
        <v>2.6732974397596356</v>
      </c>
      <c r="V601" s="41">
        <f t="shared" si="101"/>
        <v>2.2137569382913211</v>
      </c>
      <c r="W601" s="43">
        <f t="shared" si="102"/>
        <v>1.6812412373755872</v>
      </c>
      <c r="X601" s="43" t="e">
        <f t="shared" si="103"/>
        <v>#NUM!</v>
      </c>
    </row>
    <row r="602" spans="1:24" ht="14.25" customHeight="1">
      <c r="A602" s="49"/>
      <c r="B602" s="8">
        <v>2</v>
      </c>
      <c r="C602" s="8">
        <f t="shared" si="104"/>
        <v>1</v>
      </c>
      <c r="D602" s="16" t="s">
        <v>25</v>
      </c>
      <c r="E602" s="12" t="s">
        <v>230</v>
      </c>
      <c r="F602" s="17" t="s">
        <v>34</v>
      </c>
      <c r="G602" s="17" t="s">
        <v>217</v>
      </c>
      <c r="H602" s="17" t="s">
        <v>29</v>
      </c>
      <c r="I602" s="17" t="s">
        <v>36</v>
      </c>
      <c r="J602" s="8">
        <v>0.86299999999999999</v>
      </c>
      <c r="K602" s="8">
        <v>1.1850000000000001</v>
      </c>
      <c r="L602" s="8">
        <f t="shared" si="105"/>
        <v>37.311703360370807</v>
      </c>
      <c r="M602" s="9">
        <v>47.13</v>
      </c>
      <c r="N602" s="9">
        <v>55</v>
      </c>
      <c r="O602" s="10">
        <f t="shared" si="106"/>
        <v>16.69849352853808</v>
      </c>
      <c r="P602" s="11">
        <v>4.8</v>
      </c>
      <c r="Q602" s="11">
        <v>3.19</v>
      </c>
      <c r="R602" s="33">
        <f t="shared" si="107"/>
        <v>-33.541666666666664</v>
      </c>
      <c r="S602" s="37">
        <f t="shared" si="98"/>
        <v>0.93601079571520951</v>
      </c>
      <c r="T602" s="37">
        <f t="shared" si="99"/>
        <v>2.5718450759806215</v>
      </c>
      <c r="U602" s="42">
        <f t="shared" si="100"/>
        <v>2.6732974397596356</v>
      </c>
      <c r="V602" s="41">
        <f t="shared" si="101"/>
        <v>2.2226772925994287</v>
      </c>
      <c r="W602" s="43">
        <f t="shared" si="102"/>
        <v>1.6812412373755872</v>
      </c>
      <c r="X602" s="43" t="e">
        <f t="shared" si="103"/>
        <v>#NUM!</v>
      </c>
    </row>
    <row r="603" spans="1:24" ht="14.25" customHeight="1">
      <c r="A603" s="49"/>
      <c r="B603" s="8">
        <v>4</v>
      </c>
      <c r="C603" s="8">
        <f t="shared" si="104"/>
        <v>2</v>
      </c>
      <c r="D603" s="16" t="s">
        <v>25</v>
      </c>
      <c r="E603" s="12" t="s">
        <v>230</v>
      </c>
      <c r="F603" s="17" t="s">
        <v>34</v>
      </c>
      <c r="G603" s="17" t="s">
        <v>217</v>
      </c>
      <c r="H603" s="17" t="s">
        <v>29</v>
      </c>
      <c r="I603" s="17" t="s">
        <v>36</v>
      </c>
      <c r="J603" s="8">
        <v>0.86299999999999999</v>
      </c>
      <c r="K603" s="8">
        <v>1.286</v>
      </c>
      <c r="L603" s="8">
        <f t="shared" si="105"/>
        <v>49.015063731170343</v>
      </c>
      <c r="M603" s="9">
        <v>47.13</v>
      </c>
      <c r="N603" s="9">
        <v>56.87</v>
      </c>
      <c r="O603" s="10">
        <f t="shared" si="106"/>
        <v>20.66624230850837</v>
      </c>
      <c r="P603" s="11">
        <v>4.8</v>
      </c>
      <c r="Q603" s="11">
        <v>2.88</v>
      </c>
      <c r="R603" s="33">
        <f t="shared" si="107"/>
        <v>-40</v>
      </c>
      <c r="S603" s="37">
        <f t="shared" si="98"/>
        <v>0.93601079571520951</v>
      </c>
      <c r="T603" s="37">
        <f t="shared" si="99"/>
        <v>2.690329571659833</v>
      </c>
      <c r="U603" s="42">
        <f t="shared" si="100"/>
        <v>2.6732974397596356</v>
      </c>
      <c r="V603" s="41">
        <f t="shared" si="101"/>
        <v>2.3152615171189797</v>
      </c>
      <c r="W603" s="43">
        <f t="shared" si="102"/>
        <v>1.6812412373755872</v>
      </c>
      <c r="X603" s="43" t="e">
        <f t="shared" si="103"/>
        <v>#NUM!</v>
      </c>
    </row>
    <row r="604" spans="1:24" ht="14.25" customHeight="1">
      <c r="A604" s="49"/>
      <c r="B604" s="8">
        <v>5</v>
      </c>
      <c r="C604" s="8">
        <f t="shared" si="104"/>
        <v>2.5</v>
      </c>
      <c r="D604" s="16" t="s">
        <v>25</v>
      </c>
      <c r="E604" s="12" t="s">
        <v>230</v>
      </c>
      <c r="F604" s="17" t="s">
        <v>34</v>
      </c>
      <c r="G604" s="17" t="s">
        <v>217</v>
      </c>
      <c r="H604" s="17" t="s">
        <v>29</v>
      </c>
      <c r="I604" s="17" t="s">
        <v>36</v>
      </c>
      <c r="J604" s="8">
        <v>0.86299999999999999</v>
      </c>
      <c r="K604" s="8">
        <v>1.3</v>
      </c>
      <c r="L604" s="8">
        <f t="shared" si="105"/>
        <v>50.637311703360375</v>
      </c>
      <c r="M604" s="9">
        <v>47.13</v>
      </c>
      <c r="N604" s="9">
        <v>57.17</v>
      </c>
      <c r="O604" s="10">
        <f t="shared" si="106"/>
        <v>21.302779545936769</v>
      </c>
      <c r="P604" s="11">
        <v>4.8</v>
      </c>
      <c r="Q604" s="11">
        <v>2.79</v>
      </c>
      <c r="R604" s="33">
        <f t="shared" si="107"/>
        <v>-41.874999999999993</v>
      </c>
      <c r="S604" s="37">
        <f t="shared" si="98"/>
        <v>0.93601079571520951</v>
      </c>
      <c r="T604" s="37">
        <f t="shared" si="99"/>
        <v>2.7044706412552122</v>
      </c>
      <c r="U604" s="42">
        <f t="shared" si="100"/>
        <v>2.6732974397596356</v>
      </c>
      <c r="V604" s="41">
        <f t="shared" si="101"/>
        <v>2.3284362730493648</v>
      </c>
      <c r="W604" s="43">
        <f t="shared" si="102"/>
        <v>1.6812412373755872</v>
      </c>
      <c r="X604" s="43" t="e">
        <f t="shared" si="103"/>
        <v>#NUM!</v>
      </c>
    </row>
    <row r="605" spans="1:24" ht="14.25" customHeight="1">
      <c r="A605" s="49"/>
      <c r="B605" s="8">
        <v>2</v>
      </c>
      <c r="C605" s="8">
        <f t="shared" si="104"/>
        <v>1</v>
      </c>
      <c r="D605" s="16" t="s">
        <v>25</v>
      </c>
      <c r="E605" s="12" t="s">
        <v>230</v>
      </c>
      <c r="F605" s="17" t="s">
        <v>34</v>
      </c>
      <c r="G605" s="17" t="s">
        <v>35</v>
      </c>
      <c r="H605" s="17" t="s">
        <v>29</v>
      </c>
      <c r="I605" s="17" t="s">
        <v>36</v>
      </c>
      <c r="J605" s="8">
        <v>0.86299999999999999</v>
      </c>
      <c r="K605" s="8">
        <v>1.0669999999999999</v>
      </c>
      <c r="L605" s="8">
        <f t="shared" si="105"/>
        <v>23.638470451911932</v>
      </c>
      <c r="M605" s="9">
        <v>47.13</v>
      </c>
      <c r="N605" s="9">
        <v>52.8</v>
      </c>
      <c r="O605" s="10">
        <f t="shared" si="106"/>
        <v>12.030553787396551</v>
      </c>
      <c r="P605" s="11">
        <v>4.8</v>
      </c>
      <c r="Q605" s="11">
        <v>3.31</v>
      </c>
      <c r="R605" s="33">
        <f t="shared" si="107"/>
        <v>-31.041666666666661</v>
      </c>
      <c r="S605" s="37">
        <f t="shared" si="98"/>
        <v>0.93601079571520951</v>
      </c>
      <c r="T605" s="37">
        <f t="shared" si="99"/>
        <v>2.373619371710689</v>
      </c>
      <c r="U605" s="42">
        <f t="shared" si="100"/>
        <v>2.6732974397596356</v>
      </c>
      <c r="V605" s="41">
        <f t="shared" si="101"/>
        <v>2.0802856191332704</v>
      </c>
      <c r="W605" s="43">
        <f t="shared" si="102"/>
        <v>1.6812412373755872</v>
      </c>
      <c r="X605" s="43" t="e">
        <f t="shared" si="103"/>
        <v>#NUM!</v>
      </c>
    </row>
    <row r="606" spans="1:24" ht="14.25" customHeight="1">
      <c r="A606" s="49"/>
      <c r="B606" s="8">
        <v>4</v>
      </c>
      <c r="C606" s="8">
        <f t="shared" si="104"/>
        <v>2</v>
      </c>
      <c r="D606" s="16" t="s">
        <v>25</v>
      </c>
      <c r="E606" s="12" t="s">
        <v>230</v>
      </c>
      <c r="F606" s="17" t="s">
        <v>34</v>
      </c>
      <c r="G606" s="17" t="s">
        <v>35</v>
      </c>
      <c r="H606" s="17" t="s">
        <v>29</v>
      </c>
      <c r="I606" s="17" t="s">
        <v>36</v>
      </c>
      <c r="J606" s="8">
        <v>0.86299999999999999</v>
      </c>
      <c r="K606" s="8">
        <v>1.1499999999999999</v>
      </c>
      <c r="L606" s="8">
        <f t="shared" si="105"/>
        <v>33.256083429895703</v>
      </c>
      <c r="M606" s="9">
        <v>47.13</v>
      </c>
      <c r="N606" s="9">
        <v>53.44</v>
      </c>
      <c r="O606" s="10">
        <f t="shared" si="106"/>
        <v>13.388499893910449</v>
      </c>
      <c r="P606" s="11">
        <v>4.8</v>
      </c>
      <c r="Q606" s="11">
        <v>2.63</v>
      </c>
      <c r="R606" s="33">
        <f t="shared" si="107"/>
        <v>-45.208333333333336</v>
      </c>
      <c r="S606" s="37">
        <f t="shared" si="98"/>
        <v>0.93601079571520951</v>
      </c>
      <c r="T606" s="37">
        <f t="shared" si="99"/>
        <v>2.5218711010187826</v>
      </c>
      <c r="U606" s="42">
        <f t="shared" si="100"/>
        <v>2.6732974397596356</v>
      </c>
      <c r="V606" s="41">
        <f t="shared" si="101"/>
        <v>2.1267319194844982</v>
      </c>
      <c r="W606" s="43">
        <f t="shared" si="102"/>
        <v>1.6812412373755872</v>
      </c>
      <c r="X606" s="43" t="e">
        <f t="shared" si="103"/>
        <v>#NUM!</v>
      </c>
    </row>
    <row r="607" spans="1:24" ht="14.25" customHeight="1">
      <c r="A607" s="50"/>
      <c r="B607" s="8">
        <v>5</v>
      </c>
      <c r="C607" s="8">
        <f t="shared" si="104"/>
        <v>2.5</v>
      </c>
      <c r="D607" s="16" t="s">
        <v>25</v>
      </c>
      <c r="E607" s="12" t="s">
        <v>230</v>
      </c>
      <c r="F607" s="17" t="s">
        <v>34</v>
      </c>
      <c r="G607" s="17" t="s">
        <v>35</v>
      </c>
      <c r="H607" s="17" t="s">
        <v>29</v>
      </c>
      <c r="I607" s="17" t="s">
        <v>36</v>
      </c>
      <c r="J607" s="8">
        <v>0.86299999999999999</v>
      </c>
      <c r="K607" s="8">
        <v>1.155</v>
      </c>
      <c r="L607" s="8">
        <f t="shared" si="105"/>
        <v>33.835457705677875</v>
      </c>
      <c r="M607" s="9">
        <v>47.13</v>
      </c>
      <c r="N607" s="9">
        <v>52.66</v>
      </c>
      <c r="O607" s="10">
        <f t="shared" si="106"/>
        <v>11.733503076596634</v>
      </c>
      <c r="P607" s="11">
        <v>4.8</v>
      </c>
      <c r="Q607" s="11">
        <v>2.64</v>
      </c>
      <c r="R607" s="33">
        <f t="shared" si="107"/>
        <v>-44.999999999999993</v>
      </c>
      <c r="S607" s="37">
        <f t="shared" si="98"/>
        <v>0.93601079571520951</v>
      </c>
      <c r="T607" s="37">
        <f t="shared" si="99"/>
        <v>2.5293720557332087</v>
      </c>
      <c r="U607" s="42">
        <f t="shared" si="100"/>
        <v>2.6732974397596356</v>
      </c>
      <c r="V607" s="41">
        <f t="shared" si="101"/>
        <v>2.0694276915450618</v>
      </c>
      <c r="W607" s="43">
        <f t="shared" si="102"/>
        <v>1.6812412373755872</v>
      </c>
      <c r="X607" s="43" t="e">
        <f t="shared" si="103"/>
        <v>#NUM!</v>
      </c>
    </row>
    <row r="608" spans="1:24" ht="14.25" customHeight="1">
      <c r="A608" s="45" t="s">
        <v>231</v>
      </c>
      <c r="B608" s="8">
        <v>2</v>
      </c>
      <c r="C608" s="8">
        <f t="shared" si="104"/>
        <v>1</v>
      </c>
      <c r="D608" s="16" t="s">
        <v>42</v>
      </c>
      <c r="E608" s="12" t="s">
        <v>43</v>
      </c>
      <c r="F608" s="17" t="s">
        <v>34</v>
      </c>
      <c r="G608" s="17" t="s">
        <v>35</v>
      </c>
      <c r="H608" s="17" t="s">
        <v>29</v>
      </c>
      <c r="I608" s="17" t="s">
        <v>36</v>
      </c>
      <c r="J608" s="8">
        <v>1.44</v>
      </c>
      <c r="K608" s="8">
        <v>1.73</v>
      </c>
      <c r="L608" s="8">
        <f t="shared" si="105"/>
        <v>20.138888888888893</v>
      </c>
      <c r="M608" s="9">
        <v>47.5</v>
      </c>
      <c r="N608" s="9">
        <v>31.56</v>
      </c>
      <c r="O608" s="10">
        <f t="shared" si="106"/>
        <v>-33.557894736842108</v>
      </c>
      <c r="P608" s="11">
        <v>10.39</v>
      </c>
      <c r="Q608" s="11">
        <v>10.5</v>
      </c>
      <c r="R608" s="33">
        <f t="shared" si="107"/>
        <v>1.0587102983638057</v>
      </c>
      <c r="S608" s="37">
        <f t="shared" si="98"/>
        <v>1.1583624920952496</v>
      </c>
      <c r="T608" s="37">
        <f t="shared" si="99"/>
        <v>2.3040355058037063</v>
      </c>
      <c r="U608" s="42">
        <f t="shared" si="100"/>
        <v>2.6766936096248664</v>
      </c>
      <c r="V608" s="41" t="e">
        <f t="shared" si="101"/>
        <v>#NUM!</v>
      </c>
      <c r="W608" s="43">
        <f t="shared" si="102"/>
        <v>2.0166155475571776</v>
      </c>
      <c r="X608" s="43">
        <f t="shared" si="103"/>
        <v>1.0247771376010453</v>
      </c>
    </row>
    <row r="609" spans="1:24" ht="14.25" customHeight="1">
      <c r="A609" s="49"/>
      <c r="B609" s="8">
        <v>5</v>
      </c>
      <c r="C609" s="8">
        <f t="shared" si="104"/>
        <v>2.5</v>
      </c>
      <c r="D609" s="16" t="s">
        <v>42</v>
      </c>
      <c r="E609" s="12" t="s">
        <v>43</v>
      </c>
      <c r="F609" s="17" t="s">
        <v>34</v>
      </c>
      <c r="G609" s="17" t="s">
        <v>35</v>
      </c>
      <c r="H609" s="17" t="s">
        <v>29</v>
      </c>
      <c r="I609" s="17" t="s">
        <v>36</v>
      </c>
      <c r="J609" s="8">
        <v>1.44</v>
      </c>
      <c r="K609" s="8">
        <v>1.9</v>
      </c>
      <c r="L609" s="8">
        <f t="shared" si="105"/>
        <v>31.944444444444443</v>
      </c>
      <c r="M609" s="9">
        <v>47.5</v>
      </c>
      <c r="N609" s="9">
        <v>37.950000000000003</v>
      </c>
      <c r="O609" s="10">
        <f t="shared" si="106"/>
        <v>-20.105263157894733</v>
      </c>
      <c r="P609" s="11">
        <v>10.39</v>
      </c>
      <c r="Q609" s="11">
        <v>11.3</v>
      </c>
      <c r="R609" s="33">
        <f t="shared" si="107"/>
        <v>8.7584215591915324</v>
      </c>
      <c r="S609" s="37">
        <f t="shared" si="98"/>
        <v>1.1583624920952496</v>
      </c>
      <c r="T609" s="37">
        <f t="shared" si="99"/>
        <v>2.5043953395863245</v>
      </c>
      <c r="U609" s="42">
        <f t="shared" si="100"/>
        <v>2.6766936096248664</v>
      </c>
      <c r="V609" s="41" t="e">
        <f t="shared" si="101"/>
        <v>#NUM!</v>
      </c>
      <c r="W609" s="43">
        <f t="shared" si="102"/>
        <v>2.0166155475571776</v>
      </c>
      <c r="X609" s="43">
        <f t="shared" si="103"/>
        <v>1.9424258447639162</v>
      </c>
    </row>
    <row r="610" spans="1:24" ht="14.25" customHeight="1">
      <c r="A610" s="49"/>
      <c r="B610" s="8">
        <v>7</v>
      </c>
      <c r="C610" s="8">
        <f t="shared" si="104"/>
        <v>3.5</v>
      </c>
      <c r="D610" s="16" t="s">
        <v>42</v>
      </c>
      <c r="E610" s="12" t="s">
        <v>43</v>
      </c>
      <c r="F610" s="17" t="s">
        <v>34</v>
      </c>
      <c r="G610" s="17" t="s">
        <v>35</v>
      </c>
      <c r="H610" s="17" t="s">
        <v>29</v>
      </c>
      <c r="I610" s="17" t="s">
        <v>36</v>
      </c>
      <c r="J610" s="8">
        <v>1.44</v>
      </c>
      <c r="K610" s="8">
        <v>2.09</v>
      </c>
      <c r="L610" s="8">
        <f t="shared" si="105"/>
        <v>45.138888888888886</v>
      </c>
      <c r="M610" s="9">
        <v>47.5</v>
      </c>
      <c r="N610" s="9">
        <v>33.79</v>
      </c>
      <c r="O610" s="10">
        <f t="shared" si="106"/>
        <v>-28.863157894736847</v>
      </c>
      <c r="P610" s="11">
        <v>10.39</v>
      </c>
      <c r="Q610" s="11">
        <v>9.35</v>
      </c>
      <c r="R610" s="33">
        <f t="shared" si="107"/>
        <v>-10.009624639076042</v>
      </c>
      <c r="S610" s="37">
        <f t="shared" si="98"/>
        <v>1.1583624920952496</v>
      </c>
      <c r="T610" s="37">
        <f t="shared" si="99"/>
        <v>2.6545508645476059</v>
      </c>
      <c r="U610" s="42">
        <f t="shared" si="100"/>
        <v>2.6766936096248664</v>
      </c>
      <c r="V610" s="41" t="e">
        <f t="shared" si="101"/>
        <v>#NUM!</v>
      </c>
      <c r="W610" s="43">
        <f t="shared" si="102"/>
        <v>2.0166155475571776</v>
      </c>
      <c r="X610" s="43" t="e">
        <f t="shared" si="103"/>
        <v>#NUM!</v>
      </c>
    </row>
    <row r="611" spans="1:24" ht="14.25" customHeight="1">
      <c r="A611" s="49"/>
      <c r="B611" s="8">
        <v>2</v>
      </c>
      <c r="C611" s="8">
        <f t="shared" si="104"/>
        <v>1</v>
      </c>
      <c r="D611" s="16" t="s">
        <v>42</v>
      </c>
      <c r="E611" s="12" t="s">
        <v>232</v>
      </c>
      <c r="F611" s="17" t="s">
        <v>34</v>
      </c>
      <c r="G611" s="17" t="s">
        <v>35</v>
      </c>
      <c r="H611" s="17" t="s">
        <v>29</v>
      </c>
      <c r="I611" s="17" t="s">
        <v>36</v>
      </c>
      <c r="J611" s="8">
        <v>3.49</v>
      </c>
      <c r="K611" s="8">
        <v>3.55</v>
      </c>
      <c r="L611" s="8">
        <f t="shared" si="105"/>
        <v>1.7191977077363783</v>
      </c>
      <c r="M611" s="9">
        <v>71.099999999999994</v>
      </c>
      <c r="N611" s="9">
        <v>69.400000000000006</v>
      </c>
      <c r="O611" s="10">
        <f t="shared" si="106"/>
        <v>-2.3909985935302234</v>
      </c>
      <c r="P611" s="11">
        <v>2.54</v>
      </c>
      <c r="Q611" s="11">
        <v>2.38</v>
      </c>
      <c r="R611" s="33">
        <f t="shared" si="107"/>
        <v>-6.2992125984252025</v>
      </c>
      <c r="S611" s="37">
        <f t="shared" si="98"/>
        <v>1.5428254269591799</v>
      </c>
      <c r="T611" s="37">
        <f t="shared" si="99"/>
        <v>1.2353258234244608</v>
      </c>
      <c r="U611" s="42">
        <f t="shared" si="100"/>
        <v>2.8518696007297661</v>
      </c>
      <c r="V611" s="41" t="e">
        <f t="shared" si="101"/>
        <v>#NUM!</v>
      </c>
      <c r="W611" s="43">
        <f t="shared" si="102"/>
        <v>1.4048337166199381</v>
      </c>
      <c r="X611" s="43" t="e">
        <f t="shared" si="103"/>
        <v>#NUM!</v>
      </c>
    </row>
    <row r="612" spans="1:24" ht="14.25" customHeight="1">
      <c r="A612" s="49"/>
      <c r="B612" s="8">
        <v>5</v>
      </c>
      <c r="C612" s="8">
        <f t="shared" si="104"/>
        <v>2.5</v>
      </c>
      <c r="D612" s="16" t="s">
        <v>42</v>
      </c>
      <c r="E612" s="12" t="s">
        <v>232</v>
      </c>
      <c r="F612" s="17" t="s">
        <v>34</v>
      </c>
      <c r="G612" s="17" t="s">
        <v>35</v>
      </c>
      <c r="H612" s="17" t="s">
        <v>29</v>
      </c>
      <c r="I612" s="17" t="s">
        <v>36</v>
      </c>
      <c r="J612" s="8">
        <v>3.49</v>
      </c>
      <c r="K612" s="8">
        <v>3.74</v>
      </c>
      <c r="L612" s="8">
        <f t="shared" si="105"/>
        <v>7.1633237822349569</v>
      </c>
      <c r="M612" s="9">
        <v>71.099999999999994</v>
      </c>
      <c r="N612" s="9">
        <v>66.209999999999994</v>
      </c>
      <c r="O612" s="10">
        <f t="shared" si="106"/>
        <v>-6.8776371308016895</v>
      </c>
      <c r="P612" s="11">
        <v>2.54</v>
      </c>
      <c r="Q612" s="11">
        <v>2.2200000000000002</v>
      </c>
      <c r="R612" s="33">
        <f t="shared" si="107"/>
        <v>-12.598425196850387</v>
      </c>
      <c r="S612" s="37">
        <f t="shared" si="98"/>
        <v>1.5428254269591799</v>
      </c>
      <c r="T612" s="37">
        <f t="shared" si="99"/>
        <v>1.8551145817128578</v>
      </c>
      <c r="U612" s="42">
        <f t="shared" si="100"/>
        <v>2.8518696007297661</v>
      </c>
      <c r="V612" s="41" t="e">
        <f t="shared" si="101"/>
        <v>#NUM!</v>
      </c>
      <c r="W612" s="43">
        <f t="shared" si="102"/>
        <v>1.4048337166199381</v>
      </c>
      <c r="X612" s="43" t="e">
        <f t="shared" si="103"/>
        <v>#NUM!</v>
      </c>
    </row>
    <row r="613" spans="1:24" ht="14.25" customHeight="1">
      <c r="A613" s="50"/>
      <c r="B613" s="8">
        <v>7</v>
      </c>
      <c r="C613" s="8">
        <f t="shared" si="104"/>
        <v>3.5</v>
      </c>
      <c r="D613" s="16" t="s">
        <v>42</v>
      </c>
      <c r="E613" s="12" t="s">
        <v>232</v>
      </c>
      <c r="F613" s="17" t="s">
        <v>34</v>
      </c>
      <c r="G613" s="17" t="s">
        <v>35</v>
      </c>
      <c r="H613" s="17" t="s">
        <v>29</v>
      </c>
      <c r="I613" s="17" t="s">
        <v>36</v>
      </c>
      <c r="J613" s="8">
        <v>3.49</v>
      </c>
      <c r="K613" s="8">
        <v>3.91</v>
      </c>
      <c r="L613" s="8">
        <f t="shared" si="105"/>
        <v>12.034383954154725</v>
      </c>
      <c r="M613" s="9">
        <v>71.099999999999994</v>
      </c>
      <c r="N613" s="9">
        <v>64.099999999999994</v>
      </c>
      <c r="O613" s="10">
        <f t="shared" si="106"/>
        <v>-9.8452883263009863</v>
      </c>
      <c r="P613" s="11">
        <v>2.54</v>
      </c>
      <c r="Q613" s="11">
        <v>2.08</v>
      </c>
      <c r="R613" s="33">
        <f t="shared" si="107"/>
        <v>-18.110236220472441</v>
      </c>
      <c r="S613" s="37">
        <f t="shared" si="98"/>
        <v>1.5428254269591799</v>
      </c>
      <c r="T613" s="37">
        <f t="shared" si="99"/>
        <v>2.0804238634387207</v>
      </c>
      <c r="U613" s="42">
        <f t="shared" si="100"/>
        <v>2.8518696007297661</v>
      </c>
      <c r="V613" s="41" t="e">
        <f t="shared" si="101"/>
        <v>#NUM!</v>
      </c>
      <c r="W613" s="43">
        <f t="shared" si="102"/>
        <v>1.4048337166199381</v>
      </c>
      <c r="X613" s="43" t="e">
        <f t="shared" si="103"/>
        <v>#NUM!</v>
      </c>
    </row>
    <row r="614" spans="1:24" ht="14.25" customHeight="1">
      <c r="A614" s="48" t="s">
        <v>233</v>
      </c>
      <c r="B614" s="8">
        <v>0.95</v>
      </c>
      <c r="C614" s="8">
        <f t="shared" si="104"/>
        <v>0.47499999999999998</v>
      </c>
      <c r="D614" s="16" t="s">
        <v>25</v>
      </c>
      <c r="E614" s="12" t="s">
        <v>234</v>
      </c>
      <c r="F614" s="17" t="s">
        <v>34</v>
      </c>
      <c r="G614" s="17" t="s">
        <v>217</v>
      </c>
      <c r="H614" s="17" t="s">
        <v>29</v>
      </c>
      <c r="I614" s="17" t="s">
        <v>36</v>
      </c>
      <c r="J614" s="8">
        <v>1.52</v>
      </c>
      <c r="K614" s="8">
        <v>1.65</v>
      </c>
      <c r="L614" s="8">
        <f t="shared" si="105"/>
        <v>8.552631578947361</v>
      </c>
      <c r="M614" s="9">
        <v>47.94</v>
      </c>
      <c r="N614" s="9">
        <v>50.29</v>
      </c>
      <c r="O614" s="10">
        <f t="shared" si="106"/>
        <v>4.9019607843137285</v>
      </c>
      <c r="P614" s="11" t="s">
        <v>31</v>
      </c>
      <c r="Q614" s="11" t="s">
        <v>31</v>
      </c>
      <c r="R614" s="33" t="s">
        <v>31</v>
      </c>
      <c r="S614" s="37">
        <f t="shared" si="98"/>
        <v>1.1818435879447726</v>
      </c>
      <c r="T614" s="37">
        <f t="shared" si="99"/>
        <v>1.9320997643620639</v>
      </c>
      <c r="U614" s="42">
        <f t="shared" si="100"/>
        <v>2.680698029697635</v>
      </c>
      <c r="V614" s="41">
        <f t="shared" si="101"/>
        <v>1.6903698325741014</v>
      </c>
      <c r="W614" s="43" t="e">
        <f t="shared" si="102"/>
        <v>#VALUE!</v>
      </c>
      <c r="X614" s="43" t="e">
        <f t="shared" si="103"/>
        <v>#VALUE!</v>
      </c>
    </row>
    <row r="615" spans="1:24" ht="14.25" customHeight="1">
      <c r="A615" s="54"/>
      <c r="B615" s="8">
        <v>3</v>
      </c>
      <c r="C615" s="8">
        <f t="shared" si="104"/>
        <v>1.5</v>
      </c>
      <c r="D615" s="16" t="s">
        <v>25</v>
      </c>
      <c r="E615" s="12" t="s">
        <v>234</v>
      </c>
      <c r="F615" s="17" t="s">
        <v>34</v>
      </c>
      <c r="G615" s="17" t="s">
        <v>217</v>
      </c>
      <c r="H615" s="17" t="s">
        <v>29</v>
      </c>
      <c r="I615" s="17" t="s">
        <v>36</v>
      </c>
      <c r="J615" s="8">
        <v>1.52</v>
      </c>
      <c r="K615" s="8">
        <v>1.86</v>
      </c>
      <c r="L615" s="8">
        <f t="shared" si="105"/>
        <v>22.368421052631586</v>
      </c>
      <c r="M615" s="9">
        <v>47.94</v>
      </c>
      <c r="N615" s="9">
        <v>49.23</v>
      </c>
      <c r="O615" s="10">
        <f t="shared" si="106"/>
        <v>2.6908635794743412</v>
      </c>
      <c r="P615" s="11" t="s">
        <v>31</v>
      </c>
      <c r="Q615" s="11" t="s">
        <v>31</v>
      </c>
      <c r="R615" s="33" t="s">
        <v>31</v>
      </c>
      <c r="S615" s="37">
        <f t="shared" si="98"/>
        <v>1.1818435879447726</v>
      </c>
      <c r="T615" s="37">
        <f t="shared" si="99"/>
        <v>2.3496353290974827</v>
      </c>
      <c r="U615" s="42">
        <f t="shared" si="100"/>
        <v>2.680698029697635</v>
      </c>
      <c r="V615" s="41">
        <f t="shared" si="101"/>
        <v>1.4298916806016135</v>
      </c>
      <c r="W615" s="43" t="e">
        <f t="shared" si="102"/>
        <v>#VALUE!</v>
      </c>
      <c r="X615" s="43" t="e">
        <f t="shared" si="103"/>
        <v>#VALUE!</v>
      </c>
    </row>
    <row r="616" spans="1:24" ht="14.25" customHeight="1">
      <c r="A616" s="54"/>
      <c r="B616" s="8">
        <v>3</v>
      </c>
      <c r="C616" s="8">
        <f t="shared" si="104"/>
        <v>1.5</v>
      </c>
      <c r="D616" s="16" t="s">
        <v>25</v>
      </c>
      <c r="E616" s="12" t="s">
        <v>234</v>
      </c>
      <c r="F616" s="17" t="s">
        <v>34</v>
      </c>
      <c r="G616" s="17" t="s">
        <v>217</v>
      </c>
      <c r="H616" s="17" t="s">
        <v>29</v>
      </c>
      <c r="I616" s="17" t="s">
        <v>36</v>
      </c>
      <c r="J616" s="8">
        <v>1.52</v>
      </c>
      <c r="K616" s="8">
        <v>1.93</v>
      </c>
      <c r="L616" s="8">
        <f t="shared" si="105"/>
        <v>26.973684210526311</v>
      </c>
      <c r="M616" s="9">
        <v>47.94</v>
      </c>
      <c r="N616" s="9">
        <v>50.22</v>
      </c>
      <c r="O616" s="10">
        <f t="shared" si="106"/>
        <v>4.755944931163957</v>
      </c>
      <c r="P616" s="11" t="s">
        <v>31</v>
      </c>
      <c r="Q616" s="11" t="s">
        <v>31</v>
      </c>
      <c r="R616" s="33" t="s">
        <v>31</v>
      </c>
      <c r="S616" s="37">
        <f t="shared" si="98"/>
        <v>1.1818435879447726</v>
      </c>
      <c r="T616" s="37">
        <f t="shared" si="99"/>
        <v>2.4309402687749628</v>
      </c>
      <c r="U616" s="42">
        <f t="shared" si="100"/>
        <v>2.680698029697635</v>
      </c>
      <c r="V616" s="41">
        <f t="shared" si="101"/>
        <v>1.6772368173028189</v>
      </c>
      <c r="W616" s="43" t="e">
        <f t="shared" si="102"/>
        <v>#VALUE!</v>
      </c>
      <c r="X616" s="43" t="e">
        <f t="shared" si="103"/>
        <v>#VALUE!</v>
      </c>
    </row>
    <row r="617" spans="1:24" ht="14.25" customHeight="1">
      <c r="A617" s="54"/>
      <c r="B617" s="8">
        <v>3</v>
      </c>
      <c r="C617" s="8">
        <f t="shared" si="104"/>
        <v>1.5</v>
      </c>
      <c r="D617" s="16" t="s">
        <v>25</v>
      </c>
      <c r="E617" s="12" t="s">
        <v>234</v>
      </c>
      <c r="F617" s="17" t="s">
        <v>34</v>
      </c>
      <c r="G617" s="17" t="s">
        <v>217</v>
      </c>
      <c r="H617" s="17" t="s">
        <v>29</v>
      </c>
      <c r="I617" s="17" t="s">
        <v>36</v>
      </c>
      <c r="J617" s="8">
        <v>1.52</v>
      </c>
      <c r="K617" s="8">
        <v>1.94</v>
      </c>
      <c r="L617" s="8">
        <f t="shared" si="105"/>
        <v>27.631578947368418</v>
      </c>
      <c r="M617" s="9">
        <v>47.94</v>
      </c>
      <c r="N617" s="9">
        <v>50.29</v>
      </c>
      <c r="O617" s="10">
        <f t="shared" si="106"/>
        <v>4.9019607843137285</v>
      </c>
      <c r="P617" s="11" t="s">
        <v>31</v>
      </c>
      <c r="Q617" s="11" t="s">
        <v>31</v>
      </c>
      <c r="R617" s="33" t="s">
        <v>31</v>
      </c>
      <c r="S617" s="37">
        <f t="shared" si="98"/>
        <v>1.1818435879447726</v>
      </c>
      <c r="T617" s="37">
        <f t="shared" si="99"/>
        <v>2.4414057024531277</v>
      </c>
      <c r="U617" s="42">
        <f t="shared" si="100"/>
        <v>2.680698029697635</v>
      </c>
      <c r="V617" s="41">
        <f t="shared" si="101"/>
        <v>1.6903698325741014</v>
      </c>
      <c r="W617" s="43" t="e">
        <f t="shared" si="102"/>
        <v>#VALUE!</v>
      </c>
      <c r="X617" s="43" t="e">
        <f t="shared" si="103"/>
        <v>#VALUE!</v>
      </c>
    </row>
    <row r="618" spans="1:24" ht="14.25" customHeight="1">
      <c r="A618" s="54"/>
      <c r="B618" s="8">
        <v>3</v>
      </c>
      <c r="C618" s="8">
        <f t="shared" si="104"/>
        <v>1.5</v>
      </c>
      <c r="D618" s="16" t="s">
        <v>25</v>
      </c>
      <c r="E618" s="12" t="s">
        <v>234</v>
      </c>
      <c r="F618" s="17" t="s">
        <v>34</v>
      </c>
      <c r="G618" s="17" t="s">
        <v>217</v>
      </c>
      <c r="H618" s="17" t="s">
        <v>29</v>
      </c>
      <c r="I618" s="17" t="s">
        <v>36</v>
      </c>
      <c r="J618" s="8">
        <v>1.52</v>
      </c>
      <c r="K618" s="8">
        <v>1.87</v>
      </c>
      <c r="L618" s="8">
        <f t="shared" si="105"/>
        <v>23.026315789473689</v>
      </c>
      <c r="M618" s="9">
        <v>47.94</v>
      </c>
      <c r="N618" s="9">
        <v>49.79</v>
      </c>
      <c r="O618" s="10">
        <f t="shared" si="106"/>
        <v>3.8589904046725105</v>
      </c>
      <c r="P618" s="11" t="s">
        <v>31</v>
      </c>
      <c r="Q618" s="11" t="s">
        <v>31</v>
      </c>
      <c r="R618" s="33" t="s">
        <v>31</v>
      </c>
      <c r="S618" s="37">
        <f t="shared" si="98"/>
        <v>1.1818435879447726</v>
      </c>
      <c r="T618" s="37">
        <f t="shared" si="99"/>
        <v>2.362224456405503</v>
      </c>
      <c r="U618" s="42">
        <f t="shared" si="100"/>
        <v>2.680698029697635</v>
      </c>
      <c r="V618" s="41">
        <f t="shared" si="101"/>
        <v>1.5864736987053791</v>
      </c>
      <c r="W618" s="43" t="e">
        <f t="shared" si="102"/>
        <v>#VALUE!</v>
      </c>
      <c r="X618" s="43" t="e">
        <f t="shared" si="103"/>
        <v>#VALUE!</v>
      </c>
    </row>
    <row r="619" spans="1:24" ht="14.25" customHeight="1">
      <c r="A619" s="54"/>
      <c r="B619" s="8">
        <v>6</v>
      </c>
      <c r="C619" s="8">
        <f t="shared" si="104"/>
        <v>3</v>
      </c>
      <c r="D619" s="16" t="s">
        <v>25</v>
      </c>
      <c r="E619" s="12" t="s">
        <v>234</v>
      </c>
      <c r="F619" s="17" t="s">
        <v>34</v>
      </c>
      <c r="G619" s="17" t="s">
        <v>217</v>
      </c>
      <c r="H619" s="17" t="s">
        <v>29</v>
      </c>
      <c r="I619" s="17" t="s">
        <v>36</v>
      </c>
      <c r="J619" s="8">
        <v>1.52</v>
      </c>
      <c r="K619" s="8">
        <v>2.04</v>
      </c>
      <c r="L619" s="8">
        <f t="shared" si="105"/>
        <v>34.210526315789473</v>
      </c>
      <c r="M619" s="9">
        <v>47.94</v>
      </c>
      <c r="N619" s="9">
        <v>48.8</v>
      </c>
      <c r="O619" s="10">
        <f t="shared" si="106"/>
        <v>1.7939090529828943</v>
      </c>
      <c r="P619" s="11" t="s">
        <v>31</v>
      </c>
      <c r="Q619" s="11" t="s">
        <v>31</v>
      </c>
      <c r="R619" s="33" t="s">
        <v>31</v>
      </c>
      <c r="S619" s="37">
        <f t="shared" si="98"/>
        <v>1.1818435879447726</v>
      </c>
      <c r="T619" s="37">
        <f t="shared" si="99"/>
        <v>2.5341597556900268</v>
      </c>
      <c r="U619" s="42">
        <f t="shared" si="100"/>
        <v>2.680698029697635</v>
      </c>
      <c r="V619" s="41">
        <f t="shared" si="101"/>
        <v>1.2538004215459324</v>
      </c>
      <c r="W619" s="43" t="e">
        <f t="shared" si="102"/>
        <v>#VALUE!</v>
      </c>
      <c r="X619" s="43" t="e">
        <f t="shared" si="103"/>
        <v>#VALUE!</v>
      </c>
    </row>
    <row r="620" spans="1:24" ht="14.25" customHeight="1">
      <c r="A620" s="54"/>
      <c r="B620" s="8">
        <v>6</v>
      </c>
      <c r="C620" s="8">
        <f t="shared" si="104"/>
        <v>3</v>
      </c>
      <c r="D620" s="16" t="s">
        <v>25</v>
      </c>
      <c r="E620" s="12" t="s">
        <v>234</v>
      </c>
      <c r="F620" s="17" t="s">
        <v>34</v>
      </c>
      <c r="G620" s="17" t="s">
        <v>217</v>
      </c>
      <c r="H620" s="17" t="s">
        <v>29</v>
      </c>
      <c r="I620" s="17" t="s">
        <v>36</v>
      </c>
      <c r="J620" s="8">
        <v>1.52</v>
      </c>
      <c r="K620" s="8">
        <v>2.14</v>
      </c>
      <c r="L620" s="8">
        <f t="shared" si="105"/>
        <v>40.789473684210535</v>
      </c>
      <c r="M620" s="9">
        <v>47.94</v>
      </c>
      <c r="N620" s="9">
        <v>49.41</v>
      </c>
      <c r="O620" s="10">
        <f t="shared" si="106"/>
        <v>3.0663329161451793</v>
      </c>
      <c r="P620" s="11" t="s">
        <v>31</v>
      </c>
      <c r="Q620" s="11" t="s">
        <v>31</v>
      </c>
      <c r="R620" s="33" t="s">
        <v>31</v>
      </c>
      <c r="S620" s="37">
        <f t="shared" si="98"/>
        <v>1.1818435879447726</v>
      </c>
      <c r="T620" s="37">
        <f t="shared" si="99"/>
        <v>2.6105481015534813</v>
      </c>
      <c r="U620" s="42">
        <f t="shared" si="100"/>
        <v>2.680698029697635</v>
      </c>
      <c r="V620" s="41">
        <f t="shared" si="101"/>
        <v>1.4866193050505407</v>
      </c>
      <c r="W620" s="43" t="e">
        <f t="shared" si="102"/>
        <v>#VALUE!</v>
      </c>
      <c r="X620" s="43" t="e">
        <f t="shared" si="103"/>
        <v>#VALUE!</v>
      </c>
    </row>
    <row r="621" spans="1:24" ht="14.25" customHeight="1">
      <c r="A621" s="54"/>
      <c r="B621" s="8">
        <v>6</v>
      </c>
      <c r="C621" s="8">
        <f t="shared" si="104"/>
        <v>3</v>
      </c>
      <c r="D621" s="16" t="s">
        <v>25</v>
      </c>
      <c r="E621" s="12" t="s">
        <v>234</v>
      </c>
      <c r="F621" s="17" t="s">
        <v>34</v>
      </c>
      <c r="G621" s="17" t="s">
        <v>217</v>
      </c>
      <c r="H621" s="17" t="s">
        <v>29</v>
      </c>
      <c r="I621" s="17" t="s">
        <v>36</v>
      </c>
      <c r="J621" s="8">
        <v>1.52</v>
      </c>
      <c r="K621" s="8">
        <v>1.96</v>
      </c>
      <c r="L621" s="8">
        <f t="shared" si="105"/>
        <v>28.947368421052627</v>
      </c>
      <c r="M621" s="9">
        <v>47.94</v>
      </c>
      <c r="N621" s="9">
        <v>48.2</v>
      </c>
      <c r="O621" s="10">
        <f t="shared" si="106"/>
        <v>0.5423445974134441</v>
      </c>
      <c r="P621" s="11" t="s">
        <v>31</v>
      </c>
      <c r="Q621" s="11" t="s">
        <v>31</v>
      </c>
      <c r="R621" s="33" t="s">
        <v>31</v>
      </c>
      <c r="S621" s="37">
        <f t="shared" si="98"/>
        <v>1.1818435879447726</v>
      </c>
      <c r="T621" s="37">
        <f t="shared" si="99"/>
        <v>2.4616090885414148</v>
      </c>
      <c r="U621" s="42">
        <f t="shared" si="100"/>
        <v>2.680698029697635</v>
      </c>
      <c r="V621" s="41">
        <f t="shared" si="101"/>
        <v>0.73427531827319148</v>
      </c>
      <c r="W621" s="43" t="e">
        <f t="shared" si="102"/>
        <v>#VALUE!</v>
      </c>
      <c r="X621" s="43" t="e">
        <f t="shared" si="103"/>
        <v>#VALUE!</v>
      </c>
    </row>
    <row r="622" spans="1:24" ht="14.25" customHeight="1">
      <c r="A622" s="54"/>
      <c r="B622" s="8">
        <v>6</v>
      </c>
      <c r="C622" s="8">
        <f t="shared" si="104"/>
        <v>3</v>
      </c>
      <c r="D622" s="16" t="s">
        <v>25</v>
      </c>
      <c r="E622" s="12" t="s">
        <v>234</v>
      </c>
      <c r="F622" s="17" t="s">
        <v>34</v>
      </c>
      <c r="G622" s="17" t="s">
        <v>217</v>
      </c>
      <c r="H622" s="17" t="s">
        <v>29</v>
      </c>
      <c r="I622" s="17" t="s">
        <v>36</v>
      </c>
      <c r="J622" s="8">
        <v>1.52</v>
      </c>
      <c r="K622" s="8">
        <v>2.0499999999999998</v>
      </c>
      <c r="L622" s="8">
        <f t="shared" si="105"/>
        <v>34.868421052631568</v>
      </c>
      <c r="M622" s="9">
        <v>47.94</v>
      </c>
      <c r="N622" s="9">
        <v>48.56</v>
      </c>
      <c r="O622" s="10">
        <f t="shared" si="106"/>
        <v>1.2932832707551201</v>
      </c>
      <c r="P622" s="11" t="s">
        <v>31</v>
      </c>
      <c r="Q622" s="11" t="s">
        <v>31</v>
      </c>
      <c r="R622" s="33" t="s">
        <v>31</v>
      </c>
      <c r="S622" s="37">
        <f t="shared" si="98"/>
        <v>1.1818435879447726</v>
      </c>
      <c r="T622" s="37">
        <f t="shared" si="99"/>
        <v>2.5424322816560165</v>
      </c>
      <c r="U622" s="42">
        <f t="shared" si="100"/>
        <v>2.680698029697635</v>
      </c>
      <c r="V622" s="41">
        <f t="shared" si="101"/>
        <v>1.111693659800622</v>
      </c>
      <c r="W622" s="43" t="e">
        <f t="shared" si="102"/>
        <v>#VALUE!</v>
      </c>
      <c r="X622" s="43" t="e">
        <f t="shared" si="103"/>
        <v>#VALUE!</v>
      </c>
    </row>
    <row r="623" spans="1:24" ht="14.25" customHeight="1">
      <c r="A623" s="54"/>
      <c r="B623" s="8">
        <v>6</v>
      </c>
      <c r="C623" s="8">
        <f t="shared" si="104"/>
        <v>3</v>
      </c>
      <c r="D623" s="16" t="s">
        <v>25</v>
      </c>
      <c r="E623" s="12" t="s">
        <v>234</v>
      </c>
      <c r="F623" s="17" t="s">
        <v>34</v>
      </c>
      <c r="G623" s="17" t="s">
        <v>217</v>
      </c>
      <c r="H623" s="17" t="s">
        <v>29</v>
      </c>
      <c r="I623" s="17" t="s">
        <v>36</v>
      </c>
      <c r="J623" s="8">
        <v>1.52</v>
      </c>
      <c r="K623" s="8">
        <v>2.12</v>
      </c>
      <c r="L623" s="8">
        <f t="shared" si="105"/>
        <v>39.473684210526322</v>
      </c>
      <c r="M623" s="9">
        <v>47.94</v>
      </c>
      <c r="N623" s="9">
        <v>49.83</v>
      </c>
      <c r="O623" s="10">
        <f t="shared" si="106"/>
        <v>3.9424280350438061</v>
      </c>
      <c r="P623" s="11" t="s">
        <v>31</v>
      </c>
      <c r="Q623" s="11" t="s">
        <v>31</v>
      </c>
      <c r="R623" s="33" t="s">
        <v>31</v>
      </c>
      <c r="S623" s="37">
        <f t="shared" si="98"/>
        <v>1.1818435879447726</v>
      </c>
      <c r="T623" s="37">
        <f t="shared" si="99"/>
        <v>2.5963076624388712</v>
      </c>
      <c r="U623" s="42">
        <f t="shared" si="100"/>
        <v>2.680698029697635</v>
      </c>
      <c r="V623" s="41">
        <f t="shared" si="101"/>
        <v>1.5957637744756092</v>
      </c>
      <c r="W623" s="43" t="e">
        <f t="shared" si="102"/>
        <v>#VALUE!</v>
      </c>
      <c r="X623" s="43" t="e">
        <f t="shared" si="103"/>
        <v>#VALUE!</v>
      </c>
    </row>
    <row r="624" spans="1:24" ht="14.25" customHeight="1">
      <c r="A624" s="54"/>
      <c r="B624" s="8">
        <v>6</v>
      </c>
      <c r="C624" s="8">
        <f t="shared" si="104"/>
        <v>3</v>
      </c>
      <c r="D624" s="16" t="s">
        <v>25</v>
      </c>
      <c r="E624" s="12" t="s">
        <v>234</v>
      </c>
      <c r="F624" s="17" t="s">
        <v>34</v>
      </c>
      <c r="G624" s="17" t="s">
        <v>217</v>
      </c>
      <c r="H624" s="17" t="s">
        <v>29</v>
      </c>
      <c r="I624" s="17" t="s">
        <v>36</v>
      </c>
      <c r="J624" s="8">
        <v>1.52</v>
      </c>
      <c r="K624" s="8">
        <v>2.02</v>
      </c>
      <c r="L624" s="8">
        <f t="shared" si="105"/>
        <v>32.894736842105267</v>
      </c>
      <c r="M624" s="9">
        <v>47.94</v>
      </c>
      <c r="N624" s="9">
        <v>47.57</v>
      </c>
      <c r="O624" s="10">
        <f t="shared" si="106"/>
        <v>-0.7717980809344962</v>
      </c>
      <c r="P624" s="11" t="s">
        <v>31</v>
      </c>
      <c r="Q624" s="11" t="s">
        <v>31</v>
      </c>
      <c r="R624" s="33" t="s">
        <v>31</v>
      </c>
      <c r="S624" s="37">
        <f t="shared" si="98"/>
        <v>1.1818435879447726</v>
      </c>
      <c r="T624" s="37">
        <f t="shared" si="99"/>
        <v>2.5171264163912461</v>
      </c>
      <c r="U624" s="42">
        <f t="shared" si="100"/>
        <v>2.680698029697635</v>
      </c>
      <c r="V624" s="41" t="e">
        <f t="shared" si="101"/>
        <v>#NUM!</v>
      </c>
      <c r="W624" s="43" t="e">
        <f t="shared" si="102"/>
        <v>#VALUE!</v>
      </c>
      <c r="X624" s="43" t="e">
        <f t="shared" si="103"/>
        <v>#VALUE!</v>
      </c>
    </row>
    <row r="625" spans="1:24" ht="14.25" customHeight="1">
      <c r="A625" s="54"/>
      <c r="B625" s="8">
        <v>6</v>
      </c>
      <c r="C625" s="8">
        <f t="shared" si="104"/>
        <v>3</v>
      </c>
      <c r="D625" s="16" t="s">
        <v>25</v>
      </c>
      <c r="E625" s="12" t="s">
        <v>234</v>
      </c>
      <c r="F625" s="17" t="s">
        <v>34</v>
      </c>
      <c r="G625" s="17" t="s">
        <v>217</v>
      </c>
      <c r="H625" s="17" t="s">
        <v>29</v>
      </c>
      <c r="I625" s="17" t="s">
        <v>36</v>
      </c>
      <c r="J625" s="8">
        <v>1.52</v>
      </c>
      <c r="K625" s="8">
        <v>2.2599999999999998</v>
      </c>
      <c r="L625" s="8">
        <f t="shared" si="105"/>
        <v>48.684210526315773</v>
      </c>
      <c r="M625" s="9">
        <v>47.94</v>
      </c>
      <c r="N625" s="9">
        <v>50.44</v>
      </c>
      <c r="O625" s="10">
        <f t="shared" si="106"/>
        <v>5.2148518982060912</v>
      </c>
      <c r="P625" s="11" t="s">
        <v>31</v>
      </c>
      <c r="Q625" s="11" t="s">
        <v>31</v>
      </c>
      <c r="R625" s="33" t="s">
        <v>31</v>
      </c>
      <c r="S625" s="37">
        <f t="shared" si="98"/>
        <v>1.1818435879447726</v>
      </c>
      <c r="T625" s="37">
        <f t="shared" si="99"/>
        <v>2.6873881317862036</v>
      </c>
      <c r="U625" s="42">
        <f t="shared" si="100"/>
        <v>2.680698029697635</v>
      </c>
      <c r="V625" s="41">
        <f t="shared" si="101"/>
        <v>1.7172419789744027</v>
      </c>
      <c r="W625" s="43" t="e">
        <f t="shared" si="102"/>
        <v>#VALUE!</v>
      </c>
      <c r="X625" s="43" t="e">
        <f t="shared" si="103"/>
        <v>#VALUE!</v>
      </c>
    </row>
    <row r="626" spans="1:24" ht="14.25" customHeight="1">
      <c r="A626" s="54"/>
      <c r="B626" s="8">
        <v>6</v>
      </c>
      <c r="C626" s="8">
        <f t="shared" si="104"/>
        <v>3</v>
      </c>
      <c r="D626" s="16" t="s">
        <v>25</v>
      </c>
      <c r="E626" s="12" t="s">
        <v>234</v>
      </c>
      <c r="F626" s="17" t="s">
        <v>34</v>
      </c>
      <c r="G626" s="17" t="s">
        <v>217</v>
      </c>
      <c r="H626" s="17" t="s">
        <v>29</v>
      </c>
      <c r="I626" s="17" t="s">
        <v>36</v>
      </c>
      <c r="J626" s="8">
        <v>1.52</v>
      </c>
      <c r="K626" s="8">
        <v>2.2599999999999998</v>
      </c>
      <c r="L626" s="8">
        <f t="shared" si="105"/>
        <v>48.684210526315773</v>
      </c>
      <c r="M626" s="9">
        <v>47.94</v>
      </c>
      <c r="N626" s="9">
        <v>49.37</v>
      </c>
      <c r="O626" s="10">
        <f t="shared" si="106"/>
        <v>2.9828952857738837</v>
      </c>
      <c r="P626" s="11" t="s">
        <v>31</v>
      </c>
      <c r="Q626" s="11" t="s">
        <v>31</v>
      </c>
      <c r="R626" s="33" t="s">
        <v>31</v>
      </c>
      <c r="S626" s="37">
        <f t="shared" si="98"/>
        <v>1.1818435879447726</v>
      </c>
      <c r="T626" s="37">
        <f t="shared" si="99"/>
        <v>2.6873881317862036</v>
      </c>
      <c r="U626" s="42">
        <f t="shared" si="100"/>
        <v>2.680698029697635</v>
      </c>
      <c r="V626" s="41">
        <f t="shared" si="101"/>
        <v>1.4746380077674268</v>
      </c>
      <c r="W626" s="43" t="e">
        <f t="shared" si="102"/>
        <v>#VALUE!</v>
      </c>
      <c r="X626" s="43" t="e">
        <f t="shared" si="103"/>
        <v>#VALUE!</v>
      </c>
    </row>
    <row r="627" spans="1:24" ht="14.25" customHeight="1">
      <c r="A627" s="54"/>
      <c r="B627" s="8">
        <v>6</v>
      </c>
      <c r="C627" s="8">
        <f t="shared" si="104"/>
        <v>3</v>
      </c>
      <c r="D627" s="16" t="s">
        <v>25</v>
      </c>
      <c r="E627" s="12" t="s">
        <v>234</v>
      </c>
      <c r="F627" s="17" t="s">
        <v>34</v>
      </c>
      <c r="G627" s="17" t="s">
        <v>217</v>
      </c>
      <c r="H627" s="17" t="s">
        <v>29</v>
      </c>
      <c r="I627" s="17" t="s">
        <v>36</v>
      </c>
      <c r="J627" s="8">
        <v>1.52</v>
      </c>
      <c r="K627" s="8">
        <v>2.4900000000000002</v>
      </c>
      <c r="L627" s="8">
        <f t="shared" si="105"/>
        <v>63.815789473684227</v>
      </c>
      <c r="M627" s="9">
        <v>47.94</v>
      </c>
      <c r="N627" s="9">
        <v>49.65</v>
      </c>
      <c r="O627" s="10">
        <f t="shared" si="106"/>
        <v>3.5669586983729684</v>
      </c>
      <c r="P627" s="11" t="s">
        <v>31</v>
      </c>
      <c r="Q627" s="11" t="s">
        <v>31</v>
      </c>
      <c r="R627" s="33" t="s">
        <v>31</v>
      </c>
      <c r="S627" s="37">
        <f t="shared" si="98"/>
        <v>1.1818435879447726</v>
      </c>
      <c r="T627" s="37">
        <f t="shared" si="99"/>
        <v>2.8049281463214726</v>
      </c>
      <c r="U627" s="42">
        <f t="shared" si="100"/>
        <v>2.680698029697635</v>
      </c>
      <c r="V627" s="41">
        <f t="shared" si="101"/>
        <v>1.552298080694519</v>
      </c>
      <c r="W627" s="43" t="e">
        <f t="shared" si="102"/>
        <v>#VALUE!</v>
      </c>
      <c r="X627" s="43" t="e">
        <f t="shared" si="103"/>
        <v>#VALUE!</v>
      </c>
    </row>
    <row r="628" spans="1:24" ht="14.25" customHeight="1">
      <c r="A628" s="54"/>
      <c r="B628" s="8">
        <v>9</v>
      </c>
      <c r="C628" s="8">
        <f t="shared" si="104"/>
        <v>4.5</v>
      </c>
      <c r="D628" s="16" t="s">
        <v>25</v>
      </c>
      <c r="E628" s="12" t="s">
        <v>234</v>
      </c>
      <c r="F628" s="17" t="s">
        <v>34</v>
      </c>
      <c r="G628" s="17" t="s">
        <v>217</v>
      </c>
      <c r="H628" s="17" t="s">
        <v>29</v>
      </c>
      <c r="I628" s="17" t="s">
        <v>36</v>
      </c>
      <c r="J628" s="8">
        <v>1.52</v>
      </c>
      <c r="K628" s="8">
        <v>2.3199999999999998</v>
      </c>
      <c r="L628" s="8">
        <f t="shared" si="105"/>
        <v>52.631578947368411</v>
      </c>
      <c r="M628" s="9">
        <v>47.94</v>
      </c>
      <c r="N628" s="9">
        <v>47.73</v>
      </c>
      <c r="O628" s="10">
        <f t="shared" si="106"/>
        <v>-0.43804755944931345</v>
      </c>
      <c r="P628" s="11" t="s">
        <v>31</v>
      </c>
      <c r="Q628" s="11" t="s">
        <v>31</v>
      </c>
      <c r="R628" s="33" t="s">
        <v>31</v>
      </c>
      <c r="S628" s="37">
        <f t="shared" si="98"/>
        <v>1.1818435879447726</v>
      </c>
      <c r="T628" s="37">
        <f t="shared" si="99"/>
        <v>2.7212463990471711</v>
      </c>
      <c r="U628" s="42">
        <f t="shared" si="100"/>
        <v>2.680698029697635</v>
      </c>
      <c r="V628" s="41" t="e">
        <f t="shared" si="101"/>
        <v>#NUM!</v>
      </c>
      <c r="W628" s="43" t="e">
        <f t="shared" si="102"/>
        <v>#VALUE!</v>
      </c>
      <c r="X628" s="43" t="e">
        <f t="shared" si="103"/>
        <v>#VALUE!</v>
      </c>
    </row>
    <row r="629" spans="1:24" ht="14.25" customHeight="1">
      <c r="A629" s="55"/>
      <c r="B629" s="8">
        <v>9</v>
      </c>
      <c r="C629" s="8">
        <f t="shared" si="104"/>
        <v>4.5</v>
      </c>
      <c r="D629" s="16" t="s">
        <v>25</v>
      </c>
      <c r="E629" s="12" t="s">
        <v>234</v>
      </c>
      <c r="F629" s="17" t="s">
        <v>34</v>
      </c>
      <c r="G629" s="17" t="s">
        <v>217</v>
      </c>
      <c r="H629" s="17" t="s">
        <v>29</v>
      </c>
      <c r="I629" s="17" t="s">
        <v>36</v>
      </c>
      <c r="J629" s="8">
        <v>1.52</v>
      </c>
      <c r="K629" s="8">
        <v>2.2200000000000002</v>
      </c>
      <c r="L629" s="8">
        <f t="shared" si="105"/>
        <v>46.052631578947377</v>
      </c>
      <c r="M629" s="9">
        <v>47.94</v>
      </c>
      <c r="N629" s="9">
        <v>40.340000000000003</v>
      </c>
      <c r="O629" s="10">
        <f t="shared" si="106"/>
        <v>-15.853149770546505</v>
      </c>
      <c r="P629" s="11" t="s">
        <v>31</v>
      </c>
      <c r="Q629" s="11" t="s">
        <v>31</v>
      </c>
      <c r="R629" s="33" t="s">
        <v>31</v>
      </c>
      <c r="S629" s="37">
        <f t="shared" si="98"/>
        <v>1.1818435879447726</v>
      </c>
      <c r="T629" s="37">
        <f t="shared" si="99"/>
        <v>2.6632544520694843</v>
      </c>
      <c r="U629" s="42">
        <f t="shared" si="100"/>
        <v>2.680698029697635</v>
      </c>
      <c r="V629" s="41" t="e">
        <f t="shared" si="101"/>
        <v>#NUM!</v>
      </c>
      <c r="W629" s="43" t="e">
        <f t="shared" si="102"/>
        <v>#VALUE!</v>
      </c>
      <c r="X629" s="43" t="e">
        <f t="shared" si="103"/>
        <v>#VALUE!</v>
      </c>
    </row>
    <row r="630" spans="1:24" ht="14.25" customHeight="1">
      <c r="A630" s="55"/>
      <c r="B630" s="8">
        <v>9</v>
      </c>
      <c r="C630" s="8">
        <f t="shared" si="104"/>
        <v>4.5</v>
      </c>
      <c r="D630" s="16" t="s">
        <v>25</v>
      </c>
      <c r="E630" s="12" t="s">
        <v>234</v>
      </c>
      <c r="F630" s="17" t="s">
        <v>34</v>
      </c>
      <c r="G630" s="17" t="s">
        <v>217</v>
      </c>
      <c r="H630" s="17" t="s">
        <v>29</v>
      </c>
      <c r="I630" s="17" t="s">
        <v>36</v>
      </c>
      <c r="J630" s="8">
        <v>1.52</v>
      </c>
      <c r="K630" s="8">
        <v>2.4300000000000002</v>
      </c>
      <c r="L630" s="8">
        <f t="shared" si="105"/>
        <v>59.868421052631589</v>
      </c>
      <c r="M630" s="9">
        <v>47.94</v>
      </c>
      <c r="N630" s="9">
        <v>42.28</v>
      </c>
      <c r="O630" s="10">
        <f t="shared" si="106"/>
        <v>-11.806424697538583</v>
      </c>
      <c r="P630" s="11" t="s">
        <v>31</v>
      </c>
      <c r="Q630" s="11" t="s">
        <v>31</v>
      </c>
      <c r="R630" s="33" t="s">
        <v>31</v>
      </c>
      <c r="S630" s="37">
        <f t="shared" si="98"/>
        <v>1.1818435879447726</v>
      </c>
      <c r="T630" s="37">
        <f t="shared" si="99"/>
        <v>2.7771978043763212</v>
      </c>
      <c r="U630" s="42">
        <f t="shared" si="100"/>
        <v>2.680698029697635</v>
      </c>
      <c r="V630" s="41" t="e">
        <f t="shared" si="101"/>
        <v>#NUM!</v>
      </c>
      <c r="W630" s="43" t="e">
        <f t="shared" si="102"/>
        <v>#VALUE!</v>
      </c>
      <c r="X630" s="43" t="e">
        <f t="shared" si="103"/>
        <v>#VALUE!</v>
      </c>
    </row>
    <row r="631" spans="1:24" ht="14.25" customHeight="1">
      <c r="A631" s="55"/>
      <c r="B631" s="8">
        <v>9</v>
      </c>
      <c r="C631" s="8">
        <f t="shared" si="104"/>
        <v>4.5</v>
      </c>
      <c r="D631" s="16" t="s">
        <v>25</v>
      </c>
      <c r="E631" s="12" t="s">
        <v>234</v>
      </c>
      <c r="F631" s="17" t="s">
        <v>34</v>
      </c>
      <c r="G631" s="17" t="s">
        <v>217</v>
      </c>
      <c r="H631" s="17" t="s">
        <v>29</v>
      </c>
      <c r="I631" s="17" t="s">
        <v>36</v>
      </c>
      <c r="J631" s="8">
        <v>1.52</v>
      </c>
      <c r="K631" s="8">
        <v>2.54</v>
      </c>
      <c r="L631" s="8">
        <f t="shared" si="105"/>
        <v>67.10526315789474</v>
      </c>
      <c r="M631" s="9">
        <v>47.94</v>
      </c>
      <c r="N631" s="9">
        <v>44</v>
      </c>
      <c r="O631" s="10">
        <f t="shared" si="106"/>
        <v>-8.2186065915727955</v>
      </c>
      <c r="P631" s="11" t="s">
        <v>31</v>
      </c>
      <c r="Q631" s="11" t="s">
        <v>31</v>
      </c>
      <c r="R631" s="33" t="s">
        <v>31</v>
      </c>
      <c r="S631" s="37">
        <f t="shared" si="98"/>
        <v>1.1818435879447726</v>
      </c>
      <c r="T631" s="37">
        <f t="shared" si="99"/>
        <v>2.8267565838171449</v>
      </c>
      <c r="U631" s="42">
        <f t="shared" si="100"/>
        <v>2.680698029697635</v>
      </c>
      <c r="V631" s="41" t="e">
        <f t="shared" si="101"/>
        <v>#NUM!</v>
      </c>
      <c r="W631" s="43" t="e">
        <f t="shared" si="102"/>
        <v>#VALUE!</v>
      </c>
      <c r="X631" s="43" t="e">
        <f t="shared" si="103"/>
        <v>#VALUE!</v>
      </c>
    </row>
    <row r="632" spans="1:24" ht="14.25" customHeight="1">
      <c r="A632" s="56"/>
      <c r="B632" s="8">
        <v>11.05</v>
      </c>
      <c r="C632" s="8">
        <f t="shared" si="104"/>
        <v>5.5250000000000004</v>
      </c>
      <c r="D632" s="16" t="s">
        <v>25</v>
      </c>
      <c r="E632" s="12" t="s">
        <v>234</v>
      </c>
      <c r="F632" s="17" t="s">
        <v>34</v>
      </c>
      <c r="G632" s="17" t="s">
        <v>217</v>
      </c>
      <c r="H632" s="17" t="s">
        <v>29</v>
      </c>
      <c r="I632" s="17" t="s">
        <v>36</v>
      </c>
      <c r="J632" s="8">
        <v>1.52</v>
      </c>
      <c r="K632" s="8">
        <v>2.56</v>
      </c>
      <c r="L632" s="8">
        <f t="shared" si="105"/>
        <v>68.421052631578945</v>
      </c>
      <c r="M632" s="9">
        <v>47.94</v>
      </c>
      <c r="N632" s="9">
        <v>42.98</v>
      </c>
      <c r="O632" s="10">
        <f t="shared" si="106"/>
        <v>-10.346266166040886</v>
      </c>
      <c r="P632" s="11" t="s">
        <v>31</v>
      </c>
      <c r="Q632" s="11" t="s">
        <v>31</v>
      </c>
      <c r="R632" s="33" t="s">
        <v>31</v>
      </c>
      <c r="S632" s="37">
        <f t="shared" si="98"/>
        <v>1.1818435879447726</v>
      </c>
      <c r="T632" s="37">
        <f t="shared" si="99"/>
        <v>2.8351897513540076</v>
      </c>
      <c r="U632" s="42">
        <f t="shared" si="100"/>
        <v>2.680698029697635</v>
      </c>
      <c r="V632" s="41" t="e">
        <f t="shared" si="101"/>
        <v>#NUM!</v>
      </c>
      <c r="W632" s="43" t="e">
        <f t="shared" si="102"/>
        <v>#VALUE!</v>
      </c>
      <c r="X632" s="43" t="e">
        <f t="shared" si="103"/>
        <v>#VALUE!</v>
      </c>
    </row>
    <row r="633" spans="1:24" ht="14.25" customHeight="1">
      <c r="A633" s="45" t="s">
        <v>235</v>
      </c>
      <c r="B633" s="8">
        <v>1</v>
      </c>
      <c r="C633" s="8">
        <f t="shared" si="104"/>
        <v>0.5</v>
      </c>
      <c r="D633" s="16" t="s">
        <v>25</v>
      </c>
      <c r="E633" s="12" t="s">
        <v>58</v>
      </c>
      <c r="F633" s="17" t="s">
        <v>34</v>
      </c>
      <c r="G633" s="17" t="s">
        <v>35</v>
      </c>
      <c r="H633" s="17" t="s">
        <v>29</v>
      </c>
      <c r="I633" s="17" t="s">
        <v>51</v>
      </c>
      <c r="J633" s="8">
        <v>0.89</v>
      </c>
      <c r="K633" s="8">
        <v>0.91</v>
      </c>
      <c r="L633" s="8">
        <f t="shared" si="105"/>
        <v>2.247191011235957</v>
      </c>
      <c r="M633" s="9">
        <v>72.8</v>
      </c>
      <c r="N633" s="9">
        <v>87.8</v>
      </c>
      <c r="O633" s="10">
        <f t="shared" si="106"/>
        <v>20.604395604395606</v>
      </c>
      <c r="P633" s="11">
        <v>0.08</v>
      </c>
      <c r="Q633" s="11">
        <v>7.4999999999999997E-2</v>
      </c>
      <c r="R633" s="33">
        <f t="shared" si="107"/>
        <v>-6.2500000000000053</v>
      </c>
      <c r="S633" s="37">
        <f t="shared" si="98"/>
        <v>0.9493900066449128</v>
      </c>
      <c r="T633" s="37">
        <f t="shared" si="99"/>
        <v>1.3516399890190687</v>
      </c>
      <c r="U633" s="42">
        <f t="shared" si="100"/>
        <v>2.8621313793130372</v>
      </c>
      <c r="V633" s="41">
        <f t="shared" si="101"/>
        <v>2.3139598797426442</v>
      </c>
      <c r="W633" s="43">
        <f t="shared" si="102"/>
        <v>-9.6910013008056392E-2</v>
      </c>
      <c r="X633" s="43" t="e">
        <f t="shared" si="103"/>
        <v>#NUM!</v>
      </c>
    </row>
    <row r="634" spans="1:24" ht="14.25" customHeight="1">
      <c r="A634" s="49"/>
      <c r="B634" s="8">
        <v>2</v>
      </c>
      <c r="C634" s="8">
        <f t="shared" si="104"/>
        <v>1</v>
      </c>
      <c r="D634" s="16" t="s">
        <v>25</v>
      </c>
      <c r="E634" s="12" t="s">
        <v>58</v>
      </c>
      <c r="F634" s="17" t="s">
        <v>34</v>
      </c>
      <c r="G634" s="17" t="s">
        <v>35</v>
      </c>
      <c r="H634" s="17" t="s">
        <v>29</v>
      </c>
      <c r="I634" s="17" t="s">
        <v>51</v>
      </c>
      <c r="J634" s="8">
        <v>0.89</v>
      </c>
      <c r="K634" s="8">
        <v>1.1399999999999999</v>
      </c>
      <c r="L634" s="8">
        <f t="shared" si="105"/>
        <v>28.089887640449422</v>
      </c>
      <c r="M634" s="9">
        <v>72.8</v>
      </c>
      <c r="N634" s="9">
        <v>97.1</v>
      </c>
      <c r="O634" s="10">
        <f t="shared" si="106"/>
        <v>33.379120879120876</v>
      </c>
      <c r="P634" s="11">
        <v>0.08</v>
      </c>
      <c r="Q634" s="11">
        <v>7.0000000000000007E-2</v>
      </c>
      <c r="R634" s="33">
        <f t="shared" si="107"/>
        <v>-12.499999999999993</v>
      </c>
      <c r="S634" s="37">
        <f t="shared" si="98"/>
        <v>0.9493900066449128</v>
      </c>
      <c r="T634" s="37">
        <f t="shared" si="99"/>
        <v>2.4485500020271247</v>
      </c>
      <c r="U634" s="42">
        <f t="shared" si="100"/>
        <v>2.8621313793130372</v>
      </c>
      <c r="V634" s="41">
        <f t="shared" si="101"/>
        <v>2.5234748942852749</v>
      </c>
      <c r="W634" s="43">
        <f t="shared" si="102"/>
        <v>-9.6910013008056392E-2</v>
      </c>
      <c r="X634" s="43" t="e">
        <f t="shared" si="103"/>
        <v>#NUM!</v>
      </c>
    </row>
    <row r="635" spans="1:24" ht="14.25" customHeight="1">
      <c r="A635" s="49"/>
      <c r="B635" s="8">
        <v>3</v>
      </c>
      <c r="C635" s="8">
        <f t="shared" si="104"/>
        <v>1.5</v>
      </c>
      <c r="D635" s="16" t="s">
        <v>25</v>
      </c>
      <c r="E635" s="12" t="s">
        <v>58</v>
      </c>
      <c r="F635" s="17" t="s">
        <v>34</v>
      </c>
      <c r="G635" s="17" t="s">
        <v>35</v>
      </c>
      <c r="H635" s="17" t="s">
        <v>29</v>
      </c>
      <c r="I635" s="17" t="s">
        <v>51</v>
      </c>
      <c r="J635" s="8">
        <v>0.89</v>
      </c>
      <c r="K635" s="8">
        <v>1.27</v>
      </c>
      <c r="L635" s="8">
        <f t="shared" si="105"/>
        <v>42.696629213483142</v>
      </c>
      <c r="M635" s="9">
        <v>72.8</v>
      </c>
      <c r="N635" s="9">
        <v>103.6</v>
      </c>
      <c r="O635" s="10">
        <f t="shared" si="106"/>
        <v>42.307692307692307</v>
      </c>
      <c r="P635" s="11">
        <v>0.08</v>
      </c>
      <c r="Q635" s="11">
        <v>6.5000000000000002E-2</v>
      </c>
      <c r="R635" s="33">
        <f t="shared" si="107"/>
        <v>-18.75</v>
      </c>
      <c r="S635" s="37">
        <f t="shared" si="98"/>
        <v>0.9493900066449128</v>
      </c>
      <c r="T635" s="37">
        <f t="shared" si="99"/>
        <v>2.6303935899718973</v>
      </c>
      <c r="U635" s="42">
        <f t="shared" si="100"/>
        <v>2.8621313793130372</v>
      </c>
      <c r="V635" s="41">
        <f t="shared" si="101"/>
        <v>2.6264193371874072</v>
      </c>
      <c r="W635" s="43">
        <f t="shared" si="102"/>
        <v>-9.6910013008056392E-2</v>
      </c>
      <c r="X635" s="43" t="e">
        <f t="shared" si="103"/>
        <v>#NUM!</v>
      </c>
    </row>
    <row r="636" spans="1:24" ht="14.25" customHeight="1">
      <c r="A636" s="49"/>
      <c r="B636" s="8">
        <v>1</v>
      </c>
      <c r="C636" s="8">
        <f t="shared" si="104"/>
        <v>0.5</v>
      </c>
      <c r="D636" s="16" t="s">
        <v>25</v>
      </c>
      <c r="E636" s="12" t="s">
        <v>58</v>
      </c>
      <c r="F636" s="17" t="s">
        <v>34</v>
      </c>
      <c r="G636" s="17" t="s">
        <v>35</v>
      </c>
      <c r="H636" s="17" t="s">
        <v>29</v>
      </c>
      <c r="I636" s="17" t="s">
        <v>51</v>
      </c>
      <c r="J636" s="8">
        <v>2.0539999999999998</v>
      </c>
      <c r="K636" s="8">
        <v>2.3180000000000001</v>
      </c>
      <c r="L636" s="8">
        <f t="shared" si="105"/>
        <v>12.852969814995143</v>
      </c>
      <c r="M636" s="9">
        <v>57</v>
      </c>
      <c r="N636" s="9">
        <v>47</v>
      </c>
      <c r="O636" s="10">
        <f t="shared" si="106"/>
        <v>-17.543859649122805</v>
      </c>
      <c r="P636" s="11" t="s">
        <v>31</v>
      </c>
      <c r="Q636" s="11" t="s">
        <v>31</v>
      </c>
      <c r="R636" s="33" t="s">
        <v>31</v>
      </c>
      <c r="S636" s="37">
        <f t="shared" si="98"/>
        <v>1.3126004392612594</v>
      </c>
      <c r="T636" s="37">
        <f t="shared" si="99"/>
        <v>2.1090034876085721</v>
      </c>
      <c r="U636" s="42">
        <f t="shared" si="100"/>
        <v>2.7558748556724915</v>
      </c>
      <c r="V636" s="41" t="e">
        <f t="shared" si="101"/>
        <v>#NUM!</v>
      </c>
      <c r="W636" s="43" t="e">
        <f t="shared" si="102"/>
        <v>#VALUE!</v>
      </c>
      <c r="X636" s="43" t="e">
        <f t="shared" si="103"/>
        <v>#VALUE!</v>
      </c>
    </row>
    <row r="637" spans="1:24" ht="14.25" customHeight="1">
      <c r="A637" s="49"/>
      <c r="B637" s="8">
        <v>2</v>
      </c>
      <c r="C637" s="8">
        <f t="shared" si="104"/>
        <v>1</v>
      </c>
      <c r="D637" s="16" t="s">
        <v>25</v>
      </c>
      <c r="E637" s="12" t="s">
        <v>58</v>
      </c>
      <c r="F637" s="17" t="s">
        <v>34</v>
      </c>
      <c r="G637" s="17" t="s">
        <v>35</v>
      </c>
      <c r="H637" s="17" t="s">
        <v>29</v>
      </c>
      <c r="I637" s="17" t="s">
        <v>51</v>
      </c>
      <c r="J637" s="8">
        <v>2.0539999999999998</v>
      </c>
      <c r="K637" s="8">
        <v>2.4039999999999999</v>
      </c>
      <c r="L637" s="8">
        <f t="shared" si="105"/>
        <v>17.039922103213247</v>
      </c>
      <c r="M637" s="9">
        <v>57</v>
      </c>
      <c r="N637" s="9">
        <v>41</v>
      </c>
      <c r="O637" s="10">
        <f t="shared" si="106"/>
        <v>-28.07017543859649</v>
      </c>
      <c r="P637" s="11" t="s">
        <v>31</v>
      </c>
      <c r="Q637" s="11" t="s">
        <v>31</v>
      </c>
      <c r="R637" s="33" t="s">
        <v>31</v>
      </c>
      <c r="S637" s="37">
        <f t="shared" si="98"/>
        <v>1.3126004392612594</v>
      </c>
      <c r="T637" s="37">
        <f t="shared" si="99"/>
        <v>2.2314676050890165</v>
      </c>
      <c r="U637" s="42">
        <f t="shared" si="100"/>
        <v>2.7558748556724915</v>
      </c>
      <c r="V637" s="41" t="e">
        <f t="shared" si="101"/>
        <v>#NUM!</v>
      </c>
      <c r="W637" s="43" t="e">
        <f t="shared" si="102"/>
        <v>#VALUE!</v>
      </c>
      <c r="X637" s="43" t="e">
        <f t="shared" si="103"/>
        <v>#VALUE!</v>
      </c>
    </row>
    <row r="638" spans="1:24" ht="14.25" customHeight="1">
      <c r="A638" s="50"/>
      <c r="B638" s="8">
        <v>3</v>
      </c>
      <c r="C638" s="8">
        <f t="shared" si="104"/>
        <v>1.5</v>
      </c>
      <c r="D638" s="16" t="s">
        <v>25</v>
      </c>
      <c r="E638" s="12" t="s">
        <v>58</v>
      </c>
      <c r="F638" s="17" t="s">
        <v>34</v>
      </c>
      <c r="G638" s="17" t="s">
        <v>35</v>
      </c>
      <c r="H638" s="17" t="s">
        <v>29</v>
      </c>
      <c r="I638" s="17" t="s">
        <v>51</v>
      </c>
      <c r="J638" s="8">
        <v>2.0539999999999998</v>
      </c>
      <c r="K638" s="8">
        <v>2.5739999999999998</v>
      </c>
      <c r="L638" s="8">
        <f t="shared" si="105"/>
        <v>25.316455696202532</v>
      </c>
      <c r="M638" s="9">
        <v>57</v>
      </c>
      <c r="N638" s="9">
        <v>44</v>
      </c>
      <c r="O638" s="10">
        <f t="shared" si="106"/>
        <v>-22.807017543859647</v>
      </c>
      <c r="P638" s="11" t="s">
        <v>31</v>
      </c>
      <c r="Q638" s="11" t="s">
        <v>31</v>
      </c>
      <c r="R638" s="33" t="s">
        <v>31</v>
      </c>
      <c r="S638" s="37">
        <f t="shared" si="98"/>
        <v>1.3126004392612594</v>
      </c>
      <c r="T638" s="37">
        <f t="shared" si="99"/>
        <v>2.4034029043735399</v>
      </c>
      <c r="U638" s="42">
        <f t="shared" si="100"/>
        <v>2.7558748556724915</v>
      </c>
      <c r="V638" s="41" t="e">
        <f t="shared" si="101"/>
        <v>#NUM!</v>
      </c>
      <c r="W638" s="43" t="e">
        <f t="shared" si="102"/>
        <v>#VALUE!</v>
      </c>
      <c r="X638" s="43" t="e">
        <f t="shared" si="103"/>
        <v>#VALUE!</v>
      </c>
    </row>
    <row r="639" spans="1:24" ht="14.25" customHeight="1">
      <c r="A639" s="45" t="s">
        <v>236</v>
      </c>
      <c r="B639" s="8">
        <v>3</v>
      </c>
      <c r="C639" s="8">
        <f t="shared" si="104"/>
        <v>1.5</v>
      </c>
      <c r="D639" s="16" t="s">
        <v>25</v>
      </c>
      <c r="E639" s="12" t="s">
        <v>237</v>
      </c>
      <c r="F639" s="17" t="s">
        <v>34</v>
      </c>
      <c r="G639" s="17" t="s">
        <v>37</v>
      </c>
      <c r="H639" s="17" t="s">
        <v>29</v>
      </c>
      <c r="I639" s="17" t="s">
        <v>36</v>
      </c>
      <c r="J639" s="8">
        <v>1.1919999999999999</v>
      </c>
      <c r="K639" s="8">
        <v>1.4510000000000001</v>
      </c>
      <c r="L639" s="8">
        <f t="shared" si="105"/>
        <v>21.7281879194631</v>
      </c>
      <c r="M639" s="9" t="s">
        <v>31</v>
      </c>
      <c r="N639" s="9" t="s">
        <v>31</v>
      </c>
      <c r="O639" s="9" t="s">
        <v>31</v>
      </c>
      <c r="P639" s="11" t="s">
        <v>31</v>
      </c>
      <c r="Q639" s="11" t="s">
        <v>31</v>
      </c>
      <c r="R639" s="33" t="s">
        <v>31</v>
      </c>
      <c r="S639" s="37">
        <f t="shared" si="98"/>
        <v>1.0762762554042176</v>
      </c>
      <c r="T639" s="37">
        <f t="shared" si="99"/>
        <v>2.3370235086770346</v>
      </c>
      <c r="U639" s="42" t="e">
        <f t="shared" si="100"/>
        <v>#VALUE!</v>
      </c>
      <c r="V639" s="41" t="e">
        <f t="shared" si="101"/>
        <v>#VALUE!</v>
      </c>
      <c r="W639" s="43" t="e">
        <f t="shared" si="102"/>
        <v>#VALUE!</v>
      </c>
      <c r="X639" s="43" t="e">
        <f t="shared" si="103"/>
        <v>#VALUE!</v>
      </c>
    </row>
    <row r="640" spans="1:24" ht="14.25" customHeight="1">
      <c r="A640" s="49"/>
      <c r="B640" s="8">
        <v>10</v>
      </c>
      <c r="C640" s="8">
        <f t="shared" si="104"/>
        <v>5</v>
      </c>
      <c r="D640" s="16" t="s">
        <v>25</v>
      </c>
      <c r="E640" s="12" t="s">
        <v>237</v>
      </c>
      <c r="F640" s="17" t="s">
        <v>34</v>
      </c>
      <c r="G640" s="17" t="s">
        <v>37</v>
      </c>
      <c r="H640" s="17" t="s">
        <v>29</v>
      </c>
      <c r="I640" s="17" t="s">
        <v>36</v>
      </c>
      <c r="J640" s="8">
        <v>1.1919999999999999</v>
      </c>
      <c r="K640" s="8">
        <v>2.298</v>
      </c>
      <c r="L640" s="8">
        <f t="shared" si="105"/>
        <v>92.78523489932887</v>
      </c>
      <c r="M640" s="9" t="s">
        <v>31</v>
      </c>
      <c r="N640" s="9" t="s">
        <v>31</v>
      </c>
      <c r="O640" s="9" t="s">
        <v>31</v>
      </c>
      <c r="P640" s="11" t="s">
        <v>31</v>
      </c>
      <c r="Q640" s="11" t="s">
        <v>31</v>
      </c>
      <c r="R640" s="33" t="s">
        <v>31</v>
      </c>
      <c r="S640" s="37">
        <f t="shared" si="98"/>
        <v>1.0762762554042176</v>
      </c>
      <c r="T640" s="37">
        <f t="shared" si="99"/>
        <v>2.9674788715644618</v>
      </c>
      <c r="U640" s="42" t="e">
        <f t="shared" si="100"/>
        <v>#VALUE!</v>
      </c>
      <c r="V640" s="41" t="e">
        <f t="shared" si="101"/>
        <v>#VALUE!</v>
      </c>
      <c r="W640" s="43" t="e">
        <f t="shared" si="102"/>
        <v>#VALUE!</v>
      </c>
      <c r="X640" s="43" t="e">
        <f t="shared" si="103"/>
        <v>#VALUE!</v>
      </c>
    </row>
    <row r="641" spans="1:24" ht="14.25" customHeight="1">
      <c r="A641" s="49"/>
      <c r="B641" s="8">
        <v>3</v>
      </c>
      <c r="C641" s="8">
        <f t="shared" si="104"/>
        <v>1.5</v>
      </c>
      <c r="D641" s="16" t="s">
        <v>25</v>
      </c>
      <c r="E641" s="12" t="s">
        <v>237</v>
      </c>
      <c r="F641" s="17" t="s">
        <v>34</v>
      </c>
      <c r="G641" s="17" t="s">
        <v>37</v>
      </c>
      <c r="H641" s="17" t="s">
        <v>54</v>
      </c>
      <c r="I641" s="17" t="s">
        <v>238</v>
      </c>
      <c r="J641" s="8">
        <v>1.1919999999999999</v>
      </c>
      <c r="K641" s="8">
        <v>1.4510000000000001</v>
      </c>
      <c r="L641" s="8">
        <f t="shared" si="105"/>
        <v>21.7281879194631</v>
      </c>
      <c r="M641" s="9" t="s">
        <v>31</v>
      </c>
      <c r="N641" s="9" t="s">
        <v>31</v>
      </c>
      <c r="O641" s="9" t="s">
        <v>31</v>
      </c>
      <c r="P641" s="11" t="s">
        <v>31</v>
      </c>
      <c r="Q641" s="11" t="s">
        <v>31</v>
      </c>
      <c r="R641" s="33" t="s">
        <v>31</v>
      </c>
      <c r="S641" s="37">
        <f t="shared" si="98"/>
        <v>1.0762762554042176</v>
      </c>
      <c r="T641" s="37">
        <f t="shared" si="99"/>
        <v>2.3370235086770346</v>
      </c>
      <c r="U641" s="42" t="e">
        <f t="shared" si="100"/>
        <v>#VALUE!</v>
      </c>
      <c r="V641" s="41" t="e">
        <f t="shared" si="101"/>
        <v>#VALUE!</v>
      </c>
      <c r="W641" s="43" t="e">
        <f t="shared" si="102"/>
        <v>#VALUE!</v>
      </c>
      <c r="X641" s="43" t="e">
        <f t="shared" si="103"/>
        <v>#VALUE!</v>
      </c>
    </row>
    <row r="642" spans="1:24" ht="14.25" customHeight="1">
      <c r="A642" s="50"/>
      <c r="B642" s="8">
        <v>10</v>
      </c>
      <c r="C642" s="8">
        <f t="shared" si="104"/>
        <v>5</v>
      </c>
      <c r="D642" s="16" t="s">
        <v>25</v>
      </c>
      <c r="E642" s="12" t="s">
        <v>237</v>
      </c>
      <c r="F642" s="17" t="s">
        <v>34</v>
      </c>
      <c r="G642" s="17" t="s">
        <v>37</v>
      </c>
      <c r="H642" s="17" t="s">
        <v>54</v>
      </c>
      <c r="I642" s="17" t="s">
        <v>238</v>
      </c>
      <c r="J642" s="8">
        <v>1.1919999999999999</v>
      </c>
      <c r="K642" s="8">
        <v>2.298</v>
      </c>
      <c r="L642" s="8">
        <f t="shared" si="105"/>
        <v>92.78523489932887</v>
      </c>
      <c r="M642" s="9" t="s">
        <v>31</v>
      </c>
      <c r="N642" s="9" t="s">
        <v>31</v>
      </c>
      <c r="O642" s="9" t="s">
        <v>31</v>
      </c>
      <c r="P642" s="11" t="s">
        <v>31</v>
      </c>
      <c r="Q642" s="11" t="s">
        <v>31</v>
      </c>
      <c r="R642" s="33" t="s">
        <v>31</v>
      </c>
      <c r="S642" s="37">
        <f t="shared" si="98"/>
        <v>1.0762762554042176</v>
      </c>
      <c r="T642" s="37">
        <f t="shared" si="99"/>
        <v>2.9674788715644618</v>
      </c>
      <c r="U642" s="42" t="e">
        <f t="shared" si="100"/>
        <v>#VALUE!</v>
      </c>
      <c r="V642" s="41" t="e">
        <f t="shared" si="101"/>
        <v>#VALUE!</v>
      </c>
      <c r="W642" s="43" t="e">
        <f t="shared" si="102"/>
        <v>#VALUE!</v>
      </c>
      <c r="X642" s="43" t="e">
        <f t="shared" si="103"/>
        <v>#VALUE!</v>
      </c>
    </row>
    <row r="643" spans="1:24" ht="14.25" customHeight="1">
      <c r="A643" s="45" t="s">
        <v>239</v>
      </c>
      <c r="B643" s="8">
        <v>3</v>
      </c>
      <c r="C643" s="8">
        <f t="shared" si="104"/>
        <v>1.5</v>
      </c>
      <c r="D643" s="16" t="s">
        <v>42</v>
      </c>
      <c r="E643" s="12" t="s">
        <v>43</v>
      </c>
      <c r="F643" s="17" t="s">
        <v>34</v>
      </c>
      <c r="G643" s="17" t="s">
        <v>37</v>
      </c>
      <c r="H643" s="17" t="s">
        <v>29</v>
      </c>
      <c r="I643" s="17" t="s">
        <v>161</v>
      </c>
      <c r="J643" s="8">
        <v>1.6739999999999999</v>
      </c>
      <c r="K643" s="8">
        <v>2.2280000000000002</v>
      </c>
      <c r="L643" s="8">
        <f t="shared" si="105"/>
        <v>33.094384707287951</v>
      </c>
      <c r="M643" s="9" t="s">
        <v>31</v>
      </c>
      <c r="N643" s="9" t="s">
        <v>31</v>
      </c>
      <c r="O643" s="9" t="s">
        <v>31</v>
      </c>
      <c r="P643" s="11" t="s">
        <v>31</v>
      </c>
      <c r="Q643" s="11" t="s">
        <v>31</v>
      </c>
      <c r="R643" s="33" t="s">
        <v>31</v>
      </c>
      <c r="S643" s="37">
        <f t="shared" si="98"/>
        <v>1.2237554536572413</v>
      </c>
      <c r="T643" s="37">
        <f t="shared" si="99"/>
        <v>2.5197543110711886</v>
      </c>
      <c r="U643" s="42" t="e">
        <f t="shared" si="100"/>
        <v>#VALUE!</v>
      </c>
      <c r="V643" s="41" t="e">
        <f t="shared" si="101"/>
        <v>#VALUE!</v>
      </c>
      <c r="W643" s="43" t="e">
        <f t="shared" si="102"/>
        <v>#VALUE!</v>
      </c>
      <c r="X643" s="43" t="e">
        <f t="shared" si="103"/>
        <v>#VALUE!</v>
      </c>
    </row>
    <row r="644" spans="1:24" ht="14.25" customHeight="1">
      <c r="A644" s="49"/>
      <c r="B644" s="8">
        <v>5</v>
      </c>
      <c r="C644" s="8">
        <f t="shared" si="104"/>
        <v>2.5</v>
      </c>
      <c r="D644" s="16" t="s">
        <v>42</v>
      </c>
      <c r="E644" s="12" t="s">
        <v>43</v>
      </c>
      <c r="F644" s="17" t="s">
        <v>34</v>
      </c>
      <c r="G644" s="17" t="s">
        <v>37</v>
      </c>
      <c r="H644" s="17" t="s">
        <v>29</v>
      </c>
      <c r="I644" s="17" t="s">
        <v>161</v>
      </c>
      <c r="J644" s="8">
        <v>1.6739999999999999</v>
      </c>
      <c r="K644" s="8">
        <v>2.4159999999999999</v>
      </c>
      <c r="L644" s="8">
        <f t="shared" si="105"/>
        <v>44.32497013142175</v>
      </c>
      <c r="M644" s="9" t="s">
        <v>31</v>
      </c>
      <c r="N644" s="9" t="s">
        <v>31</v>
      </c>
      <c r="O644" s="9" t="s">
        <v>31</v>
      </c>
      <c r="P644" s="11" t="s">
        <v>31</v>
      </c>
      <c r="Q644" s="11" t="s">
        <v>31</v>
      </c>
      <c r="R644" s="33" t="s">
        <v>31</v>
      </c>
      <c r="S644" s="37">
        <f t="shared" ref="S644:S707" si="108">LOG10(J644*10)</f>
        <v>1.2237554536572413</v>
      </c>
      <c r="T644" s="37">
        <f t="shared" ref="T644:T707" si="109">LOG10(L644*10)</f>
        <v>2.6466484516217861</v>
      </c>
      <c r="U644" s="42" t="e">
        <f t="shared" ref="U644:U707" si="110">LOG10(M644*10)</f>
        <v>#VALUE!</v>
      </c>
      <c r="V644" s="41" t="e">
        <f t="shared" ref="V644:V707" si="111">LOG10(O644*10)</f>
        <v>#VALUE!</v>
      </c>
      <c r="W644" s="43" t="e">
        <f t="shared" ref="W644:W707" si="112">LOG10(P644*10)</f>
        <v>#VALUE!</v>
      </c>
      <c r="X644" s="43" t="e">
        <f t="shared" ref="X644:X707" si="113">LOG10(R644*10)</f>
        <v>#VALUE!</v>
      </c>
    </row>
    <row r="645" spans="1:24" ht="14.25" customHeight="1">
      <c r="A645" s="49"/>
      <c r="B645" s="8">
        <v>10</v>
      </c>
      <c r="C645" s="8">
        <f t="shared" si="104"/>
        <v>5</v>
      </c>
      <c r="D645" s="16" t="s">
        <v>42</v>
      </c>
      <c r="E645" s="12" t="s">
        <v>43</v>
      </c>
      <c r="F645" s="17" t="s">
        <v>34</v>
      </c>
      <c r="G645" s="17" t="s">
        <v>37</v>
      </c>
      <c r="H645" s="17" t="s">
        <v>29</v>
      </c>
      <c r="I645" s="17" t="s">
        <v>161</v>
      </c>
      <c r="J645" s="8">
        <v>1.6739999999999999</v>
      </c>
      <c r="K645" s="8">
        <v>2.4449999999999998</v>
      </c>
      <c r="L645" s="8">
        <f t="shared" si="105"/>
        <v>46.057347670250891</v>
      </c>
      <c r="M645" s="9" t="s">
        <v>31</v>
      </c>
      <c r="N645" s="9" t="s">
        <v>31</v>
      </c>
      <c r="O645" s="9" t="s">
        <v>31</v>
      </c>
      <c r="P645" s="11" t="s">
        <v>31</v>
      </c>
      <c r="Q645" s="11" t="s">
        <v>31</v>
      </c>
      <c r="R645" s="33" t="s">
        <v>31</v>
      </c>
      <c r="S645" s="37">
        <f t="shared" si="108"/>
        <v>1.2237554536572413</v>
      </c>
      <c r="T645" s="37">
        <f t="shared" si="109"/>
        <v>2.663298924393716</v>
      </c>
      <c r="U645" s="42" t="e">
        <f t="shared" si="110"/>
        <v>#VALUE!</v>
      </c>
      <c r="V645" s="41" t="e">
        <f t="shared" si="111"/>
        <v>#VALUE!</v>
      </c>
      <c r="W645" s="43" t="e">
        <f t="shared" si="112"/>
        <v>#VALUE!</v>
      </c>
      <c r="X645" s="43" t="e">
        <f t="shared" si="113"/>
        <v>#VALUE!</v>
      </c>
    </row>
    <row r="646" spans="1:24" ht="14.25" customHeight="1">
      <c r="A646" s="50"/>
      <c r="B646" s="8">
        <v>5</v>
      </c>
      <c r="C646" s="8">
        <f t="shared" si="104"/>
        <v>2.5</v>
      </c>
      <c r="D646" s="16" t="s">
        <v>42</v>
      </c>
      <c r="E646" s="12" t="s">
        <v>43</v>
      </c>
      <c r="F646" s="17" t="s">
        <v>112</v>
      </c>
      <c r="G646" s="17" t="s">
        <v>204</v>
      </c>
      <c r="H646" s="17" t="s">
        <v>29</v>
      </c>
      <c r="I646" s="17" t="s">
        <v>161</v>
      </c>
      <c r="J646" s="8">
        <v>1.6739999999999999</v>
      </c>
      <c r="K646" s="8">
        <v>1.8839999999999999</v>
      </c>
      <c r="L646" s="8">
        <f t="shared" si="105"/>
        <v>12.544802867383511</v>
      </c>
      <c r="M646" s="9" t="s">
        <v>31</v>
      </c>
      <c r="N646" s="9" t="s">
        <v>31</v>
      </c>
      <c r="O646" s="9" t="s">
        <v>31</v>
      </c>
      <c r="P646" s="11" t="s">
        <v>31</v>
      </c>
      <c r="Q646" s="11" t="s">
        <v>31</v>
      </c>
      <c r="R646" s="33" t="s">
        <v>31</v>
      </c>
      <c r="S646" s="37">
        <f t="shared" si="108"/>
        <v>1.2237554536572413</v>
      </c>
      <c r="T646" s="37">
        <f t="shared" si="109"/>
        <v>2.0984638410766778</v>
      </c>
      <c r="U646" s="42" t="e">
        <f t="shared" si="110"/>
        <v>#VALUE!</v>
      </c>
      <c r="V646" s="41" t="e">
        <f t="shared" si="111"/>
        <v>#VALUE!</v>
      </c>
      <c r="W646" s="43" t="e">
        <f t="shared" si="112"/>
        <v>#VALUE!</v>
      </c>
      <c r="X646" s="43" t="e">
        <f t="shared" si="113"/>
        <v>#VALUE!</v>
      </c>
    </row>
    <row r="647" spans="1:24" ht="14.25" customHeight="1">
      <c r="A647" s="45" t="s">
        <v>240</v>
      </c>
      <c r="B647" s="8">
        <v>3</v>
      </c>
      <c r="C647" s="8">
        <f t="shared" si="104"/>
        <v>1.5</v>
      </c>
      <c r="D647" s="16" t="s">
        <v>25</v>
      </c>
      <c r="E647" s="12" t="s">
        <v>33</v>
      </c>
      <c r="F647" s="17" t="s">
        <v>34</v>
      </c>
      <c r="G647" s="17" t="s">
        <v>35</v>
      </c>
      <c r="H647" s="17" t="s">
        <v>29</v>
      </c>
      <c r="I647" s="17" t="s">
        <v>36</v>
      </c>
      <c r="J647" s="8">
        <v>0.6</v>
      </c>
      <c r="K647" s="8">
        <v>1</v>
      </c>
      <c r="L647" s="8">
        <f t="shared" si="105"/>
        <v>66.666666666666671</v>
      </c>
      <c r="M647" s="9">
        <v>25</v>
      </c>
      <c r="N647" s="9">
        <v>30</v>
      </c>
      <c r="O647" s="10">
        <f t="shared" si="106"/>
        <v>20</v>
      </c>
      <c r="P647" s="11">
        <v>0.8</v>
      </c>
      <c r="Q647" s="11">
        <v>0.7</v>
      </c>
      <c r="R647" s="33">
        <f t="shared" si="107"/>
        <v>-12.500000000000011</v>
      </c>
      <c r="S647" s="37">
        <f t="shared" si="108"/>
        <v>0.77815125038364363</v>
      </c>
      <c r="T647" s="37">
        <f t="shared" si="109"/>
        <v>2.8239087409443187</v>
      </c>
      <c r="U647" s="42">
        <f t="shared" si="110"/>
        <v>2.3979400086720375</v>
      </c>
      <c r="V647" s="41">
        <f t="shared" si="111"/>
        <v>2.3010299956639813</v>
      </c>
      <c r="W647" s="43">
        <f t="shared" si="112"/>
        <v>0.90308998699194354</v>
      </c>
      <c r="X647" s="43" t="e">
        <f t="shared" si="113"/>
        <v>#NUM!</v>
      </c>
    </row>
    <row r="648" spans="1:24" ht="14.25" customHeight="1">
      <c r="A648" s="49"/>
      <c r="B648" s="8">
        <v>6</v>
      </c>
      <c r="C648" s="8">
        <f t="shared" si="104"/>
        <v>3</v>
      </c>
      <c r="D648" s="16" t="s">
        <v>25</v>
      </c>
      <c r="E648" s="12" t="s">
        <v>33</v>
      </c>
      <c r="F648" s="17" t="s">
        <v>34</v>
      </c>
      <c r="G648" s="17" t="s">
        <v>35</v>
      </c>
      <c r="H648" s="17" t="s">
        <v>29</v>
      </c>
      <c r="I648" s="17" t="s">
        <v>36</v>
      </c>
      <c r="J648" s="8">
        <v>0.6</v>
      </c>
      <c r="K648" s="8">
        <v>1.5</v>
      </c>
      <c r="L648" s="8">
        <f t="shared" si="105"/>
        <v>150</v>
      </c>
      <c r="M648" s="9">
        <v>25</v>
      </c>
      <c r="N648" s="9">
        <v>30</v>
      </c>
      <c r="O648" s="10">
        <f t="shared" si="106"/>
        <v>20</v>
      </c>
      <c r="P648" s="11">
        <v>0.8</v>
      </c>
      <c r="Q648" s="11">
        <v>0.6</v>
      </c>
      <c r="R648" s="33">
        <f t="shared" si="107"/>
        <v>-25.000000000000007</v>
      </c>
      <c r="S648" s="37">
        <f t="shared" si="108"/>
        <v>0.77815125038364363</v>
      </c>
      <c r="T648" s="37">
        <f t="shared" si="109"/>
        <v>3.1760912590556813</v>
      </c>
      <c r="U648" s="42">
        <f t="shared" si="110"/>
        <v>2.3979400086720375</v>
      </c>
      <c r="V648" s="41">
        <f t="shared" si="111"/>
        <v>2.3010299956639813</v>
      </c>
      <c r="W648" s="43">
        <f t="shared" si="112"/>
        <v>0.90308998699194354</v>
      </c>
      <c r="X648" s="43" t="e">
        <f t="shared" si="113"/>
        <v>#NUM!</v>
      </c>
    </row>
    <row r="649" spans="1:24" ht="14.25" customHeight="1">
      <c r="A649" s="49"/>
      <c r="B649" s="8">
        <v>9</v>
      </c>
      <c r="C649" s="8">
        <f t="shared" si="104"/>
        <v>4.5</v>
      </c>
      <c r="D649" s="16" t="s">
        <v>25</v>
      </c>
      <c r="E649" s="12" t="s">
        <v>33</v>
      </c>
      <c r="F649" s="17" t="s">
        <v>34</v>
      </c>
      <c r="G649" s="17" t="s">
        <v>35</v>
      </c>
      <c r="H649" s="17" t="s">
        <v>29</v>
      </c>
      <c r="I649" s="17" t="s">
        <v>36</v>
      </c>
      <c r="J649" s="8">
        <v>0.6</v>
      </c>
      <c r="K649" s="8">
        <v>1.5</v>
      </c>
      <c r="L649" s="8">
        <f t="shared" si="105"/>
        <v>150</v>
      </c>
      <c r="M649" s="9">
        <v>25</v>
      </c>
      <c r="N649" s="9">
        <v>30</v>
      </c>
      <c r="O649" s="10">
        <f t="shared" ref="O649:O751" si="114">(N649-M649)/M649*100</f>
        <v>20</v>
      </c>
      <c r="P649" s="11">
        <v>0.8</v>
      </c>
      <c r="Q649" s="11">
        <v>0.4</v>
      </c>
      <c r="R649" s="33">
        <f t="shared" si="107"/>
        <v>-50</v>
      </c>
      <c r="S649" s="37">
        <f t="shared" si="108"/>
        <v>0.77815125038364363</v>
      </c>
      <c r="T649" s="37">
        <f t="shared" si="109"/>
        <v>3.1760912590556813</v>
      </c>
      <c r="U649" s="42">
        <f t="shared" si="110"/>
        <v>2.3979400086720375</v>
      </c>
      <c r="V649" s="41">
        <f t="shared" si="111"/>
        <v>2.3010299956639813</v>
      </c>
      <c r="W649" s="43">
        <f t="shared" si="112"/>
        <v>0.90308998699194354</v>
      </c>
      <c r="X649" s="43" t="e">
        <f t="shared" si="113"/>
        <v>#NUM!</v>
      </c>
    </row>
    <row r="650" spans="1:24" ht="14.25" customHeight="1">
      <c r="A650" s="49"/>
      <c r="B650" s="8">
        <v>0.5</v>
      </c>
      <c r="C650" s="8">
        <f t="shared" si="104"/>
        <v>0.25</v>
      </c>
      <c r="D650" s="16" t="s">
        <v>25</v>
      </c>
      <c r="E650" s="12" t="s">
        <v>33</v>
      </c>
      <c r="F650" s="17" t="s">
        <v>34</v>
      </c>
      <c r="G650" s="17" t="s">
        <v>35</v>
      </c>
      <c r="H650" s="17" t="s">
        <v>29</v>
      </c>
      <c r="I650" s="17" t="s">
        <v>36</v>
      </c>
      <c r="J650" s="8">
        <v>0.6</v>
      </c>
      <c r="K650" s="8">
        <v>0.5</v>
      </c>
      <c r="L650" s="8">
        <f t="shared" si="105"/>
        <v>-16.666666666666664</v>
      </c>
      <c r="M650" s="9">
        <v>25</v>
      </c>
      <c r="N650" s="9">
        <v>25</v>
      </c>
      <c r="O650" s="10">
        <f t="shared" si="114"/>
        <v>0</v>
      </c>
      <c r="P650" s="11">
        <v>0.8</v>
      </c>
      <c r="Q650" s="11">
        <v>0.7</v>
      </c>
      <c r="R650" s="33">
        <f t="shared" si="107"/>
        <v>-12.500000000000011</v>
      </c>
      <c r="S650" s="37">
        <f t="shared" si="108"/>
        <v>0.77815125038364363</v>
      </c>
      <c r="T650" s="37" t="e">
        <f t="shared" si="109"/>
        <v>#NUM!</v>
      </c>
      <c r="U650" s="42">
        <f t="shared" si="110"/>
        <v>2.3979400086720375</v>
      </c>
      <c r="V650" s="41" t="e">
        <f t="shared" si="111"/>
        <v>#NUM!</v>
      </c>
      <c r="W650" s="43">
        <f t="shared" si="112"/>
        <v>0.90308998699194354</v>
      </c>
      <c r="X650" s="43" t="e">
        <f t="shared" si="113"/>
        <v>#NUM!</v>
      </c>
    </row>
    <row r="651" spans="1:24" ht="14.25" customHeight="1">
      <c r="A651" s="49"/>
      <c r="B651" s="8">
        <v>0.5</v>
      </c>
      <c r="C651" s="8">
        <f t="shared" si="104"/>
        <v>0.25</v>
      </c>
      <c r="D651" s="16" t="s">
        <v>25</v>
      </c>
      <c r="E651" s="12" t="s">
        <v>33</v>
      </c>
      <c r="F651" s="17" t="s">
        <v>34</v>
      </c>
      <c r="G651" s="17" t="s">
        <v>35</v>
      </c>
      <c r="H651" s="17" t="s">
        <v>29</v>
      </c>
      <c r="I651" s="17" t="s">
        <v>36</v>
      </c>
      <c r="J651" s="8">
        <v>0.6</v>
      </c>
      <c r="K651" s="8">
        <v>0.5</v>
      </c>
      <c r="L651" s="8">
        <f t="shared" si="105"/>
        <v>-16.666666666666664</v>
      </c>
      <c r="M651" s="9">
        <v>25</v>
      </c>
      <c r="N651" s="9">
        <v>25</v>
      </c>
      <c r="O651" s="10">
        <f t="shared" si="114"/>
        <v>0</v>
      </c>
      <c r="P651" s="11">
        <v>0.8</v>
      </c>
      <c r="Q651" s="11">
        <v>0.7</v>
      </c>
      <c r="R651" s="33">
        <f t="shared" si="107"/>
        <v>-12.500000000000011</v>
      </c>
      <c r="S651" s="37">
        <f t="shared" si="108"/>
        <v>0.77815125038364363</v>
      </c>
      <c r="T651" s="37" t="e">
        <f t="shared" si="109"/>
        <v>#NUM!</v>
      </c>
      <c r="U651" s="42">
        <f t="shared" si="110"/>
        <v>2.3979400086720375</v>
      </c>
      <c r="V651" s="41" t="e">
        <f t="shared" si="111"/>
        <v>#NUM!</v>
      </c>
      <c r="W651" s="43">
        <f t="shared" si="112"/>
        <v>0.90308998699194354</v>
      </c>
      <c r="X651" s="43" t="e">
        <f t="shared" si="113"/>
        <v>#NUM!</v>
      </c>
    </row>
    <row r="652" spans="1:24" ht="14.25" customHeight="1">
      <c r="A652" s="50"/>
      <c r="B652" s="8">
        <v>1</v>
      </c>
      <c r="C652" s="8">
        <f t="shared" si="104"/>
        <v>0.5</v>
      </c>
      <c r="D652" s="16" t="s">
        <v>25</v>
      </c>
      <c r="E652" s="12" t="s">
        <v>33</v>
      </c>
      <c r="F652" s="17" t="s">
        <v>34</v>
      </c>
      <c r="G652" s="17" t="s">
        <v>35</v>
      </c>
      <c r="H652" s="17" t="s">
        <v>29</v>
      </c>
      <c r="I652" s="17" t="s">
        <v>36</v>
      </c>
      <c r="J652" s="8">
        <v>0.6</v>
      </c>
      <c r="K652" s="8">
        <v>0.5</v>
      </c>
      <c r="L652" s="8">
        <f t="shared" si="105"/>
        <v>-16.666666666666664</v>
      </c>
      <c r="M652" s="9">
        <v>25</v>
      </c>
      <c r="N652" s="9">
        <v>25</v>
      </c>
      <c r="O652" s="10">
        <f t="shared" si="114"/>
        <v>0</v>
      </c>
      <c r="P652" s="11">
        <v>0.8</v>
      </c>
      <c r="Q652" s="11">
        <v>0.7</v>
      </c>
      <c r="R652" s="33">
        <f t="shared" si="107"/>
        <v>-12.500000000000011</v>
      </c>
      <c r="S652" s="37">
        <f t="shared" si="108"/>
        <v>0.77815125038364363</v>
      </c>
      <c r="T652" s="37" t="e">
        <f t="shared" si="109"/>
        <v>#NUM!</v>
      </c>
      <c r="U652" s="42">
        <f t="shared" si="110"/>
        <v>2.3979400086720375</v>
      </c>
      <c r="V652" s="41" t="e">
        <f t="shared" si="111"/>
        <v>#NUM!</v>
      </c>
      <c r="W652" s="43">
        <f t="shared" si="112"/>
        <v>0.90308998699194354</v>
      </c>
      <c r="X652" s="43" t="e">
        <f t="shared" si="113"/>
        <v>#NUM!</v>
      </c>
    </row>
    <row r="653" spans="1:24" ht="14.25" customHeight="1">
      <c r="A653" s="45" t="s">
        <v>241</v>
      </c>
      <c r="B653" s="8">
        <v>5</v>
      </c>
      <c r="C653" s="8">
        <f t="shared" si="104"/>
        <v>2.5</v>
      </c>
      <c r="D653" s="16" t="s">
        <v>42</v>
      </c>
      <c r="E653" s="16" t="s">
        <v>43</v>
      </c>
      <c r="F653" s="17" t="s">
        <v>34</v>
      </c>
      <c r="G653" s="17" t="s">
        <v>35</v>
      </c>
      <c r="H653" s="17" t="s">
        <v>29</v>
      </c>
      <c r="I653" s="17" t="s">
        <v>36</v>
      </c>
      <c r="J653" s="8">
        <v>2.8</v>
      </c>
      <c r="K653" s="8">
        <v>3.4</v>
      </c>
      <c r="L653" s="8">
        <f t="shared" si="105"/>
        <v>21.428571428571434</v>
      </c>
      <c r="M653" s="9">
        <v>70</v>
      </c>
      <c r="N653" s="9">
        <v>75</v>
      </c>
      <c r="O653" s="10">
        <f t="shared" si="114"/>
        <v>7.1428571428571423</v>
      </c>
      <c r="P653" s="11">
        <v>7</v>
      </c>
      <c r="Q653" s="11">
        <v>5</v>
      </c>
      <c r="R653" s="33">
        <f t="shared" si="107"/>
        <v>-28.571428571428569</v>
      </c>
      <c r="S653" s="37">
        <f t="shared" si="108"/>
        <v>1.4471580313422192</v>
      </c>
      <c r="T653" s="37">
        <f t="shared" si="109"/>
        <v>2.3309932190414244</v>
      </c>
      <c r="U653" s="42">
        <f t="shared" si="110"/>
        <v>2.8450980400142569</v>
      </c>
      <c r="V653" s="41">
        <f t="shared" si="111"/>
        <v>1.8538719643217618</v>
      </c>
      <c r="W653" s="43">
        <f t="shared" si="112"/>
        <v>1.8450980400142569</v>
      </c>
      <c r="X653" s="43" t="e">
        <f t="shared" si="113"/>
        <v>#NUM!</v>
      </c>
    </row>
    <row r="654" spans="1:24" ht="14.25" customHeight="1">
      <c r="A654" s="49"/>
      <c r="B654" s="8">
        <v>3</v>
      </c>
      <c r="C654" s="8">
        <f t="shared" si="104"/>
        <v>1.5</v>
      </c>
      <c r="D654" s="16" t="s">
        <v>42</v>
      </c>
      <c r="E654" s="16" t="s">
        <v>43</v>
      </c>
      <c r="F654" s="17" t="s">
        <v>34</v>
      </c>
      <c r="G654" s="17" t="s">
        <v>28</v>
      </c>
      <c r="H654" s="17" t="s">
        <v>29</v>
      </c>
      <c r="I654" s="17" t="s">
        <v>36</v>
      </c>
      <c r="J654" s="8">
        <v>2.8</v>
      </c>
      <c r="K654" s="8">
        <v>3.2</v>
      </c>
      <c r="L654" s="8">
        <f t="shared" si="105"/>
        <v>14.285714285714299</v>
      </c>
      <c r="M654" s="9">
        <v>70</v>
      </c>
      <c r="N654" s="9">
        <v>74</v>
      </c>
      <c r="O654" s="10">
        <f t="shared" si="114"/>
        <v>5.7142857142857144</v>
      </c>
      <c r="P654" s="11" t="s">
        <v>31</v>
      </c>
      <c r="Q654" s="11" t="s">
        <v>31</v>
      </c>
      <c r="R654" s="33" t="s">
        <v>31</v>
      </c>
      <c r="S654" s="37">
        <f t="shared" si="108"/>
        <v>1.4471580313422192</v>
      </c>
      <c r="T654" s="37">
        <f t="shared" si="109"/>
        <v>2.1549019599857435</v>
      </c>
      <c r="U654" s="42">
        <f t="shared" si="110"/>
        <v>2.8450980400142569</v>
      </c>
      <c r="V654" s="41">
        <f t="shared" si="111"/>
        <v>1.7569619513137056</v>
      </c>
      <c r="W654" s="43" t="e">
        <f t="shared" si="112"/>
        <v>#VALUE!</v>
      </c>
      <c r="X654" s="43" t="e">
        <f t="shared" si="113"/>
        <v>#VALUE!</v>
      </c>
    </row>
    <row r="655" spans="1:24" ht="14.25" customHeight="1">
      <c r="A655" s="49"/>
      <c r="B655" s="8">
        <v>7</v>
      </c>
      <c r="C655" s="8">
        <f t="shared" si="104"/>
        <v>3.5</v>
      </c>
      <c r="D655" s="16" t="s">
        <v>42</v>
      </c>
      <c r="E655" s="16" t="s">
        <v>43</v>
      </c>
      <c r="F655" s="17" t="s">
        <v>34</v>
      </c>
      <c r="G655" s="17" t="s">
        <v>37</v>
      </c>
      <c r="H655" s="17" t="s">
        <v>29</v>
      </c>
      <c r="I655" s="17" t="s">
        <v>36</v>
      </c>
      <c r="J655" s="8">
        <v>2.8</v>
      </c>
      <c r="K655" s="8">
        <v>3.8</v>
      </c>
      <c r="L655" s="8">
        <f t="shared" si="105"/>
        <v>35.714285714285715</v>
      </c>
      <c r="M655" s="9">
        <v>65</v>
      </c>
      <c r="N655" s="9">
        <v>60</v>
      </c>
      <c r="O655" s="10">
        <f t="shared" si="114"/>
        <v>-7.6923076923076925</v>
      </c>
      <c r="P655" s="11">
        <v>10</v>
      </c>
      <c r="Q655" s="11">
        <v>2</v>
      </c>
      <c r="R655" s="33">
        <f t="shared" si="107"/>
        <v>-80</v>
      </c>
      <c r="S655" s="37">
        <f t="shared" si="108"/>
        <v>1.4471580313422192</v>
      </c>
      <c r="T655" s="37">
        <f t="shared" si="109"/>
        <v>2.552841968657781</v>
      </c>
      <c r="U655" s="42">
        <f t="shared" si="110"/>
        <v>2.8129133566428557</v>
      </c>
      <c r="V655" s="41" t="e">
        <f t="shared" si="111"/>
        <v>#NUM!</v>
      </c>
      <c r="W655" s="43">
        <f t="shared" si="112"/>
        <v>2</v>
      </c>
      <c r="X655" s="43" t="e">
        <f t="shared" si="113"/>
        <v>#NUM!</v>
      </c>
    </row>
    <row r="656" spans="1:24" ht="14.25" customHeight="1">
      <c r="A656" s="49"/>
      <c r="B656" s="8">
        <v>4</v>
      </c>
      <c r="C656" s="8">
        <f t="shared" si="104"/>
        <v>2</v>
      </c>
      <c r="D656" s="16" t="s">
        <v>42</v>
      </c>
      <c r="E656" s="16" t="s">
        <v>43</v>
      </c>
      <c r="F656" s="17" t="s">
        <v>34</v>
      </c>
      <c r="G656" s="17" t="s">
        <v>217</v>
      </c>
      <c r="H656" s="17" t="s">
        <v>29</v>
      </c>
      <c r="I656" s="17" t="s">
        <v>36</v>
      </c>
      <c r="J656" s="8">
        <v>2.8</v>
      </c>
      <c r="K656" s="8">
        <v>4</v>
      </c>
      <c r="L656" s="8">
        <f t="shared" si="105"/>
        <v>42.857142857142868</v>
      </c>
      <c r="M656" s="9" t="s">
        <v>31</v>
      </c>
      <c r="N656" s="9" t="s">
        <v>31</v>
      </c>
      <c r="O656" s="9" t="s">
        <v>31</v>
      </c>
      <c r="P656" s="11" t="s">
        <v>31</v>
      </c>
      <c r="Q656" s="11" t="s">
        <v>31</v>
      </c>
      <c r="R656" s="33" t="s">
        <v>31</v>
      </c>
      <c r="S656" s="37">
        <f t="shared" si="108"/>
        <v>1.4471580313422192</v>
      </c>
      <c r="T656" s="37">
        <f t="shared" si="109"/>
        <v>2.6320232147054057</v>
      </c>
      <c r="U656" s="42" t="e">
        <f t="shared" si="110"/>
        <v>#VALUE!</v>
      </c>
      <c r="V656" s="41" t="e">
        <f t="shared" si="111"/>
        <v>#VALUE!</v>
      </c>
      <c r="W656" s="43" t="e">
        <f t="shared" si="112"/>
        <v>#VALUE!</v>
      </c>
      <c r="X656" s="43" t="e">
        <f t="shared" si="113"/>
        <v>#VALUE!</v>
      </c>
    </row>
    <row r="657" spans="1:24" ht="14.25" customHeight="1">
      <c r="A657" s="49"/>
      <c r="B657" s="8">
        <v>2</v>
      </c>
      <c r="C657" s="8">
        <f t="shared" si="104"/>
        <v>1</v>
      </c>
      <c r="D657" s="16" t="s">
        <v>42</v>
      </c>
      <c r="E657" s="16" t="s">
        <v>43</v>
      </c>
      <c r="F657" s="17" t="s">
        <v>34</v>
      </c>
      <c r="G657" s="17" t="s">
        <v>217</v>
      </c>
      <c r="H657" s="17" t="s">
        <v>29</v>
      </c>
      <c r="I657" s="17" t="s">
        <v>36</v>
      </c>
      <c r="J657" s="8">
        <v>2.8</v>
      </c>
      <c r="K657" s="8">
        <v>3.4</v>
      </c>
      <c r="L657" s="8">
        <f t="shared" si="105"/>
        <v>21.428571428571434</v>
      </c>
      <c r="M657" s="9" t="s">
        <v>31</v>
      </c>
      <c r="N657" s="9" t="s">
        <v>31</v>
      </c>
      <c r="O657" s="9" t="s">
        <v>31</v>
      </c>
      <c r="P657" s="11" t="s">
        <v>31</v>
      </c>
      <c r="Q657" s="11" t="s">
        <v>31</v>
      </c>
      <c r="R657" s="33" t="s">
        <v>31</v>
      </c>
      <c r="S657" s="37">
        <f t="shared" si="108"/>
        <v>1.4471580313422192</v>
      </c>
      <c r="T657" s="37">
        <f t="shared" si="109"/>
        <v>2.3309932190414244</v>
      </c>
      <c r="U657" s="42" t="e">
        <f t="shared" si="110"/>
        <v>#VALUE!</v>
      </c>
      <c r="V657" s="41" t="e">
        <f t="shared" si="111"/>
        <v>#VALUE!</v>
      </c>
      <c r="W657" s="43" t="e">
        <f t="shared" si="112"/>
        <v>#VALUE!</v>
      </c>
      <c r="X657" s="43" t="e">
        <f t="shared" si="113"/>
        <v>#VALUE!</v>
      </c>
    </row>
    <row r="658" spans="1:24" ht="14.25" customHeight="1">
      <c r="A658" s="50"/>
      <c r="B658" s="8">
        <v>6</v>
      </c>
      <c r="C658" s="8">
        <f t="shared" si="104"/>
        <v>3</v>
      </c>
      <c r="D658" s="16" t="s">
        <v>42</v>
      </c>
      <c r="E658" s="16" t="s">
        <v>43</v>
      </c>
      <c r="F658" s="17" t="s">
        <v>34</v>
      </c>
      <c r="G658" s="17" t="s">
        <v>37</v>
      </c>
      <c r="H658" s="17" t="s">
        <v>29</v>
      </c>
      <c r="I658" s="17" t="s">
        <v>36</v>
      </c>
      <c r="J658" s="8">
        <v>2.8</v>
      </c>
      <c r="K658" s="8">
        <v>3.5</v>
      </c>
      <c r="L658" s="8">
        <f t="shared" si="105"/>
        <v>25.000000000000007</v>
      </c>
      <c r="M658" s="9" t="s">
        <v>31</v>
      </c>
      <c r="N658" s="9" t="s">
        <v>31</v>
      </c>
      <c r="O658" s="9" t="s">
        <v>31</v>
      </c>
      <c r="P658" s="11" t="s">
        <v>31</v>
      </c>
      <c r="Q658" s="11" t="s">
        <v>31</v>
      </c>
      <c r="R658" s="33" t="s">
        <v>31</v>
      </c>
      <c r="S658" s="37">
        <f t="shared" si="108"/>
        <v>1.4471580313422192</v>
      </c>
      <c r="T658" s="37">
        <f t="shared" si="109"/>
        <v>2.3979400086720375</v>
      </c>
      <c r="U658" s="42" t="e">
        <f t="shared" si="110"/>
        <v>#VALUE!</v>
      </c>
      <c r="V658" s="41" t="e">
        <f t="shared" si="111"/>
        <v>#VALUE!</v>
      </c>
      <c r="W658" s="43" t="e">
        <f t="shared" si="112"/>
        <v>#VALUE!</v>
      </c>
      <c r="X658" s="43" t="e">
        <f t="shared" si="113"/>
        <v>#VALUE!</v>
      </c>
    </row>
    <row r="659" spans="1:24" ht="14.25" customHeight="1">
      <c r="A659" s="45" t="s">
        <v>242</v>
      </c>
      <c r="B659" s="8">
        <v>1</v>
      </c>
      <c r="C659" s="8">
        <f t="shared" si="104"/>
        <v>0.5</v>
      </c>
      <c r="D659" s="16" t="s">
        <v>42</v>
      </c>
      <c r="E659" s="12" t="s">
        <v>43</v>
      </c>
      <c r="F659" s="17" t="s">
        <v>34</v>
      </c>
      <c r="G659" s="17" t="s">
        <v>52</v>
      </c>
      <c r="H659" s="17" t="s">
        <v>29</v>
      </c>
      <c r="I659" s="17" t="s">
        <v>36</v>
      </c>
      <c r="J659" s="8">
        <v>1.85</v>
      </c>
      <c r="K659" s="8">
        <v>2.54</v>
      </c>
      <c r="L659" s="8">
        <f t="shared" si="105"/>
        <v>37.297297297297291</v>
      </c>
      <c r="M659" s="9">
        <v>40.4</v>
      </c>
      <c r="N659" s="9">
        <v>40.1</v>
      </c>
      <c r="O659" s="10">
        <f t="shared" si="114"/>
        <v>-0.74257425742573557</v>
      </c>
      <c r="P659" s="11">
        <v>2.85</v>
      </c>
      <c r="Q659" s="11">
        <v>2.19</v>
      </c>
      <c r="R659" s="33">
        <f t="shared" si="107"/>
        <v>-23.15789473684211</v>
      </c>
      <c r="S659" s="37">
        <f t="shared" si="108"/>
        <v>1.2671717284030137</v>
      </c>
      <c r="T659" s="37">
        <f t="shared" si="109"/>
        <v>2.5716773623342415</v>
      </c>
      <c r="U659" s="42">
        <f t="shared" si="110"/>
        <v>2.6063813651106051</v>
      </c>
      <c r="V659" s="41" t="e">
        <f t="shared" si="111"/>
        <v>#NUM!</v>
      </c>
      <c r="W659" s="43">
        <f t="shared" si="112"/>
        <v>1.4548448600085102</v>
      </c>
      <c r="X659" s="43" t="e">
        <f t="shared" si="113"/>
        <v>#NUM!</v>
      </c>
    </row>
    <row r="660" spans="1:24" ht="14.25" customHeight="1">
      <c r="A660" s="49"/>
      <c r="B660" s="8">
        <v>2</v>
      </c>
      <c r="C660" s="8">
        <f t="shared" si="104"/>
        <v>1</v>
      </c>
      <c r="D660" s="16" t="s">
        <v>42</v>
      </c>
      <c r="E660" s="12" t="s">
        <v>43</v>
      </c>
      <c r="F660" s="17" t="s">
        <v>34</v>
      </c>
      <c r="G660" s="17" t="s">
        <v>52</v>
      </c>
      <c r="H660" s="17" t="s">
        <v>29</v>
      </c>
      <c r="I660" s="17" t="s">
        <v>36</v>
      </c>
      <c r="J660" s="8">
        <v>1.85</v>
      </c>
      <c r="K660" s="8">
        <v>1.7</v>
      </c>
      <c r="L660" s="8">
        <f t="shared" si="105"/>
        <v>-8.1081081081081159</v>
      </c>
      <c r="M660" s="9">
        <v>40.4</v>
      </c>
      <c r="N660" s="9">
        <v>34.5</v>
      </c>
      <c r="O660" s="10">
        <f t="shared" si="114"/>
        <v>-14.6039603960396</v>
      </c>
      <c r="P660" s="11">
        <v>2.85</v>
      </c>
      <c r="Q660" s="11">
        <v>2.67</v>
      </c>
      <c r="R660" s="33">
        <f t="shared" si="107"/>
        <v>-6.3157894736842159</v>
      </c>
      <c r="S660" s="37">
        <f t="shared" si="108"/>
        <v>1.2671717284030137</v>
      </c>
      <c r="T660" s="37" t="e">
        <f t="shared" si="109"/>
        <v>#NUM!</v>
      </c>
      <c r="U660" s="42">
        <f t="shared" si="110"/>
        <v>2.6063813651106051</v>
      </c>
      <c r="V660" s="41" t="e">
        <f t="shared" si="111"/>
        <v>#NUM!</v>
      </c>
      <c r="W660" s="43">
        <f t="shared" si="112"/>
        <v>1.4548448600085102</v>
      </c>
      <c r="X660" s="43" t="e">
        <f t="shared" si="113"/>
        <v>#NUM!</v>
      </c>
    </row>
    <row r="661" spans="1:24" ht="14.25" customHeight="1">
      <c r="A661" s="50"/>
      <c r="B661" s="8">
        <v>3</v>
      </c>
      <c r="C661" s="8">
        <f t="shared" si="104"/>
        <v>1.5</v>
      </c>
      <c r="D661" s="16" t="s">
        <v>42</v>
      </c>
      <c r="E661" s="12" t="s">
        <v>43</v>
      </c>
      <c r="F661" s="17" t="s">
        <v>34</v>
      </c>
      <c r="G661" s="17" t="s">
        <v>52</v>
      </c>
      <c r="H661" s="17" t="s">
        <v>29</v>
      </c>
      <c r="I661" s="17" t="s">
        <v>36</v>
      </c>
      <c r="J661" s="8">
        <v>1.85</v>
      </c>
      <c r="K661" s="8">
        <v>1.59</v>
      </c>
      <c r="L661" s="8">
        <f t="shared" si="105"/>
        <v>-14.054054054054054</v>
      </c>
      <c r="M661" s="9">
        <v>40.4</v>
      </c>
      <c r="N661" s="9">
        <v>30.7</v>
      </c>
      <c r="O661" s="10">
        <f t="shared" si="114"/>
        <v>-24.009900990099009</v>
      </c>
      <c r="P661" s="11">
        <v>2.85</v>
      </c>
      <c r="Q661" s="11">
        <v>2.1800000000000002</v>
      </c>
      <c r="R661" s="33">
        <f t="shared" si="107"/>
        <v>-23.508771929824558</v>
      </c>
      <c r="S661" s="37">
        <f t="shared" si="108"/>
        <v>1.2671717284030137</v>
      </c>
      <c r="T661" s="37" t="e">
        <f t="shared" si="109"/>
        <v>#NUM!</v>
      </c>
      <c r="U661" s="42">
        <f t="shared" si="110"/>
        <v>2.6063813651106051</v>
      </c>
      <c r="V661" s="41" t="e">
        <f t="shared" si="111"/>
        <v>#NUM!</v>
      </c>
      <c r="W661" s="43">
        <f t="shared" si="112"/>
        <v>1.4548448600085102</v>
      </c>
      <c r="X661" s="43" t="e">
        <f t="shared" si="113"/>
        <v>#NUM!</v>
      </c>
    </row>
    <row r="662" spans="1:24" ht="14.25" customHeight="1">
      <c r="A662" s="45" t="s">
        <v>243</v>
      </c>
      <c r="B662" s="8">
        <v>3</v>
      </c>
      <c r="C662" s="8">
        <f t="shared" si="104"/>
        <v>1.5</v>
      </c>
      <c r="D662" s="16" t="s">
        <v>25</v>
      </c>
      <c r="E662" s="12" t="s">
        <v>244</v>
      </c>
      <c r="F662" s="17" t="s">
        <v>34</v>
      </c>
      <c r="G662" s="17" t="s">
        <v>37</v>
      </c>
      <c r="H662" s="17" t="s">
        <v>29</v>
      </c>
      <c r="I662" s="17" t="s">
        <v>36</v>
      </c>
      <c r="J662" s="8">
        <v>1.4</v>
      </c>
      <c r="K662" s="8">
        <v>2</v>
      </c>
      <c r="L662" s="8">
        <f t="shared" si="105"/>
        <v>42.857142857142868</v>
      </c>
      <c r="M662" s="9" t="s">
        <v>31</v>
      </c>
      <c r="N662" s="9" t="s">
        <v>31</v>
      </c>
      <c r="O662" s="9" t="s">
        <v>31</v>
      </c>
      <c r="P662" s="11">
        <v>1</v>
      </c>
      <c r="Q662" s="11">
        <v>0.45</v>
      </c>
      <c r="R662" s="33">
        <f t="shared" si="107"/>
        <v>-55.000000000000007</v>
      </c>
      <c r="S662" s="37">
        <f t="shared" si="108"/>
        <v>1.146128035678238</v>
      </c>
      <c r="T662" s="37">
        <f t="shared" si="109"/>
        <v>2.6320232147054057</v>
      </c>
      <c r="U662" s="42" t="e">
        <f t="shared" si="110"/>
        <v>#VALUE!</v>
      </c>
      <c r="V662" s="41" t="e">
        <f t="shared" si="111"/>
        <v>#VALUE!</v>
      </c>
      <c r="W662" s="43">
        <f t="shared" si="112"/>
        <v>1</v>
      </c>
      <c r="X662" s="43" t="e">
        <f t="shared" si="113"/>
        <v>#NUM!</v>
      </c>
    </row>
    <row r="663" spans="1:24" ht="14.25" customHeight="1">
      <c r="A663" s="46"/>
      <c r="B663" s="8">
        <v>5</v>
      </c>
      <c r="C663" s="8">
        <f t="shared" si="104"/>
        <v>2.5</v>
      </c>
      <c r="D663" s="16" t="s">
        <v>25</v>
      </c>
      <c r="E663" s="12" t="s">
        <v>244</v>
      </c>
      <c r="F663" s="17" t="s">
        <v>34</v>
      </c>
      <c r="G663" s="17" t="s">
        <v>37</v>
      </c>
      <c r="H663" s="17" t="s">
        <v>29</v>
      </c>
      <c r="I663" s="17" t="s">
        <v>36</v>
      </c>
      <c r="J663" s="8">
        <v>1.4</v>
      </c>
      <c r="K663" s="8">
        <v>2.1</v>
      </c>
      <c r="L663" s="8">
        <f t="shared" si="105"/>
        <v>50.000000000000014</v>
      </c>
      <c r="M663" s="9" t="s">
        <v>31</v>
      </c>
      <c r="N663" s="9" t="s">
        <v>31</v>
      </c>
      <c r="O663" s="9" t="s">
        <v>31</v>
      </c>
      <c r="P663" s="11">
        <v>1</v>
      </c>
      <c r="Q663" s="11">
        <v>0.4</v>
      </c>
      <c r="R663" s="33">
        <f t="shared" ref="R663:R706" si="115">((Q663-P663)/P663)*100</f>
        <v>-60</v>
      </c>
      <c r="S663" s="37">
        <f t="shared" si="108"/>
        <v>1.146128035678238</v>
      </c>
      <c r="T663" s="37">
        <f t="shared" si="109"/>
        <v>2.6989700043360187</v>
      </c>
      <c r="U663" s="42" t="e">
        <f t="shared" si="110"/>
        <v>#VALUE!</v>
      </c>
      <c r="V663" s="41" t="e">
        <f t="shared" si="111"/>
        <v>#VALUE!</v>
      </c>
      <c r="W663" s="43">
        <f t="shared" si="112"/>
        <v>1</v>
      </c>
      <c r="X663" s="43" t="e">
        <f t="shared" si="113"/>
        <v>#NUM!</v>
      </c>
    </row>
    <row r="664" spans="1:24" ht="14.25" customHeight="1">
      <c r="A664" s="46"/>
      <c r="B664" s="8">
        <v>7</v>
      </c>
      <c r="C664" s="8">
        <f t="shared" si="104"/>
        <v>3.5</v>
      </c>
      <c r="D664" s="16" t="s">
        <v>25</v>
      </c>
      <c r="E664" s="12" t="s">
        <v>244</v>
      </c>
      <c r="F664" s="17" t="s">
        <v>34</v>
      </c>
      <c r="G664" s="17" t="s">
        <v>37</v>
      </c>
      <c r="H664" s="17" t="s">
        <v>29</v>
      </c>
      <c r="I664" s="17" t="s">
        <v>36</v>
      </c>
      <c r="J664" s="8">
        <v>1.4</v>
      </c>
      <c r="K664" s="8">
        <v>2</v>
      </c>
      <c r="L664" s="8">
        <f t="shared" si="105"/>
        <v>42.857142857142868</v>
      </c>
      <c r="M664" s="9" t="s">
        <v>31</v>
      </c>
      <c r="N664" s="9" t="s">
        <v>31</v>
      </c>
      <c r="O664" s="9" t="s">
        <v>31</v>
      </c>
      <c r="P664" s="11">
        <v>1</v>
      </c>
      <c r="Q664" s="11">
        <v>0.3</v>
      </c>
      <c r="R664" s="33">
        <f t="shared" si="115"/>
        <v>-70</v>
      </c>
      <c r="S664" s="37">
        <f t="shared" si="108"/>
        <v>1.146128035678238</v>
      </c>
      <c r="T664" s="37">
        <f t="shared" si="109"/>
        <v>2.6320232147054057</v>
      </c>
      <c r="U664" s="42" t="e">
        <f t="shared" si="110"/>
        <v>#VALUE!</v>
      </c>
      <c r="V664" s="41" t="e">
        <f t="shared" si="111"/>
        <v>#VALUE!</v>
      </c>
      <c r="W664" s="43">
        <f t="shared" si="112"/>
        <v>1</v>
      </c>
      <c r="X664" s="43" t="e">
        <f t="shared" si="113"/>
        <v>#NUM!</v>
      </c>
    </row>
    <row r="665" spans="1:24" ht="14.25" customHeight="1">
      <c r="A665" s="49"/>
      <c r="B665" s="8">
        <v>10</v>
      </c>
      <c r="C665" s="8">
        <f t="shared" si="104"/>
        <v>5</v>
      </c>
      <c r="D665" s="16" t="s">
        <v>25</v>
      </c>
      <c r="E665" s="12" t="s">
        <v>244</v>
      </c>
      <c r="F665" s="17" t="s">
        <v>34</v>
      </c>
      <c r="G665" s="17" t="s">
        <v>37</v>
      </c>
      <c r="H665" s="17" t="s">
        <v>29</v>
      </c>
      <c r="I665" s="17" t="s">
        <v>36</v>
      </c>
      <c r="J665" s="8">
        <v>1.4</v>
      </c>
      <c r="K665" s="8">
        <v>1.8</v>
      </c>
      <c r="L665" s="8">
        <f t="shared" si="105"/>
        <v>28.57142857142858</v>
      </c>
      <c r="M665" s="9" t="s">
        <v>31</v>
      </c>
      <c r="N665" s="9" t="s">
        <v>31</v>
      </c>
      <c r="O665" s="9" t="s">
        <v>31</v>
      </c>
      <c r="P665" s="11">
        <v>1</v>
      </c>
      <c r="Q665" s="11">
        <v>0.2</v>
      </c>
      <c r="R665" s="33">
        <f t="shared" si="115"/>
        <v>-80</v>
      </c>
      <c r="S665" s="37">
        <f t="shared" si="108"/>
        <v>1.146128035678238</v>
      </c>
      <c r="T665" s="37">
        <f t="shared" si="109"/>
        <v>2.4559319556497243</v>
      </c>
      <c r="U665" s="42" t="e">
        <f t="shared" si="110"/>
        <v>#VALUE!</v>
      </c>
      <c r="V665" s="41" t="e">
        <f t="shared" si="111"/>
        <v>#VALUE!</v>
      </c>
      <c r="W665" s="43">
        <f t="shared" si="112"/>
        <v>1</v>
      </c>
      <c r="X665" s="43" t="e">
        <f t="shared" si="113"/>
        <v>#NUM!</v>
      </c>
    </row>
    <row r="666" spans="1:24" ht="14.25" customHeight="1">
      <c r="A666" s="49"/>
      <c r="B666" s="8">
        <v>5</v>
      </c>
      <c r="C666" s="8">
        <f t="shared" si="104"/>
        <v>2.5</v>
      </c>
      <c r="D666" s="16" t="s">
        <v>25</v>
      </c>
      <c r="E666" s="12" t="s">
        <v>244</v>
      </c>
      <c r="F666" s="17" t="s">
        <v>34</v>
      </c>
      <c r="G666" s="17" t="s">
        <v>37</v>
      </c>
      <c r="H666" s="17" t="s">
        <v>29</v>
      </c>
      <c r="I666" s="17" t="s">
        <v>36</v>
      </c>
      <c r="J666" s="8">
        <v>1.5</v>
      </c>
      <c r="K666" s="8">
        <v>2.1</v>
      </c>
      <c r="L666" s="8">
        <f t="shared" si="105"/>
        <v>40.000000000000007</v>
      </c>
      <c r="M666" s="9" t="s">
        <v>31</v>
      </c>
      <c r="N666" s="9" t="s">
        <v>31</v>
      </c>
      <c r="O666" s="9" t="s">
        <v>31</v>
      </c>
      <c r="P666" s="11">
        <v>0.8</v>
      </c>
      <c r="Q666" s="11">
        <v>0.35</v>
      </c>
      <c r="R666" s="33">
        <f t="shared" si="115"/>
        <v>-56.25</v>
      </c>
      <c r="S666" s="37">
        <f t="shared" si="108"/>
        <v>1.1760912590556813</v>
      </c>
      <c r="T666" s="37">
        <f t="shared" si="109"/>
        <v>2.6020599913279625</v>
      </c>
      <c r="U666" s="42" t="e">
        <f t="shared" si="110"/>
        <v>#VALUE!</v>
      </c>
      <c r="V666" s="41" t="e">
        <f t="shared" si="111"/>
        <v>#VALUE!</v>
      </c>
      <c r="W666" s="43">
        <f t="shared" si="112"/>
        <v>0.90308998699194354</v>
      </c>
      <c r="X666" s="43" t="e">
        <f t="shared" si="113"/>
        <v>#NUM!</v>
      </c>
    </row>
    <row r="667" spans="1:24" ht="14.25" customHeight="1">
      <c r="A667" s="49"/>
      <c r="B667" s="8">
        <v>5</v>
      </c>
      <c r="C667" s="8">
        <f t="shared" si="104"/>
        <v>2.5</v>
      </c>
      <c r="D667" s="16" t="s">
        <v>25</v>
      </c>
      <c r="E667" s="12" t="s">
        <v>244</v>
      </c>
      <c r="F667" s="17" t="s">
        <v>34</v>
      </c>
      <c r="G667" s="17" t="s">
        <v>37</v>
      </c>
      <c r="H667" s="17" t="s">
        <v>29</v>
      </c>
      <c r="I667" s="17" t="s">
        <v>36</v>
      </c>
      <c r="J667" s="8">
        <v>1.6</v>
      </c>
      <c r="K667" s="8">
        <v>2.15</v>
      </c>
      <c r="L667" s="8">
        <f t="shared" si="105"/>
        <v>34.374999999999986</v>
      </c>
      <c r="M667" s="9" t="s">
        <v>31</v>
      </c>
      <c r="N667" s="9" t="s">
        <v>31</v>
      </c>
      <c r="O667" s="9" t="s">
        <v>31</v>
      </c>
      <c r="P667" s="11">
        <v>0.6</v>
      </c>
      <c r="Q667" s="11">
        <v>0.3</v>
      </c>
      <c r="R667" s="33">
        <f t="shared" si="115"/>
        <v>-50</v>
      </c>
      <c r="S667" s="37">
        <f t="shared" si="108"/>
        <v>1.2041199826559248</v>
      </c>
      <c r="T667" s="37">
        <f t="shared" si="109"/>
        <v>2.5362427068383191</v>
      </c>
      <c r="U667" s="42" t="e">
        <f t="shared" si="110"/>
        <v>#VALUE!</v>
      </c>
      <c r="V667" s="41" t="e">
        <f t="shared" si="111"/>
        <v>#VALUE!</v>
      </c>
      <c r="W667" s="43">
        <f t="shared" si="112"/>
        <v>0.77815125038364363</v>
      </c>
      <c r="X667" s="43" t="e">
        <f t="shared" si="113"/>
        <v>#NUM!</v>
      </c>
    </row>
    <row r="668" spans="1:24" ht="14.25" customHeight="1">
      <c r="A668" s="50"/>
      <c r="B668" s="8">
        <v>5</v>
      </c>
      <c r="C668" s="8">
        <f t="shared" si="104"/>
        <v>2.5</v>
      </c>
      <c r="D668" s="16" t="s">
        <v>25</v>
      </c>
      <c r="E668" s="12" t="s">
        <v>244</v>
      </c>
      <c r="F668" s="17" t="s">
        <v>34</v>
      </c>
      <c r="G668" s="17" t="s">
        <v>37</v>
      </c>
      <c r="H668" s="17" t="s">
        <v>29</v>
      </c>
      <c r="I668" s="17" t="s">
        <v>36</v>
      </c>
      <c r="J668" s="8">
        <v>1.7</v>
      </c>
      <c r="K668" s="8">
        <v>2.2000000000000002</v>
      </c>
      <c r="L668" s="8">
        <f t="shared" si="105"/>
        <v>29.411764705882366</v>
      </c>
      <c r="M668" s="9" t="s">
        <v>31</v>
      </c>
      <c r="N668" s="9" t="s">
        <v>31</v>
      </c>
      <c r="O668" s="9" t="s">
        <v>31</v>
      </c>
      <c r="P668" s="11">
        <v>0.4</v>
      </c>
      <c r="Q668" s="11">
        <v>0.25</v>
      </c>
      <c r="R668" s="33">
        <f t="shared" si="115"/>
        <v>-37.500000000000007</v>
      </c>
      <c r="S668" s="37">
        <f t="shared" si="108"/>
        <v>1.2304489213782739</v>
      </c>
      <c r="T668" s="37">
        <f t="shared" si="109"/>
        <v>2.4685210829577451</v>
      </c>
      <c r="U668" s="42" t="e">
        <f t="shared" si="110"/>
        <v>#VALUE!</v>
      </c>
      <c r="V668" s="41" t="e">
        <f t="shared" si="111"/>
        <v>#VALUE!</v>
      </c>
      <c r="W668" s="43">
        <f t="shared" si="112"/>
        <v>0.6020599913279624</v>
      </c>
      <c r="X668" s="43" t="e">
        <f t="shared" si="113"/>
        <v>#NUM!</v>
      </c>
    </row>
    <row r="669" spans="1:24" ht="14.25" customHeight="1">
      <c r="A669" s="45" t="s">
        <v>245</v>
      </c>
      <c r="B669" s="8">
        <v>5</v>
      </c>
      <c r="C669" s="8">
        <f t="shared" si="104"/>
        <v>2.5</v>
      </c>
      <c r="D669" s="16" t="s">
        <v>25</v>
      </c>
      <c r="E669" s="12" t="s">
        <v>246</v>
      </c>
      <c r="F669" s="17" t="s">
        <v>34</v>
      </c>
      <c r="G669" s="17" t="s">
        <v>37</v>
      </c>
      <c r="H669" s="17" t="s">
        <v>29</v>
      </c>
      <c r="I669" s="17" t="s">
        <v>36</v>
      </c>
      <c r="J669" s="8">
        <v>0.56840000000000002</v>
      </c>
      <c r="K669" s="8">
        <v>0.49</v>
      </c>
      <c r="L669" s="8">
        <f t="shared" si="105"/>
        <v>-13.793103448275868</v>
      </c>
      <c r="M669" s="9" t="s">
        <v>31</v>
      </c>
      <c r="N669" s="9" t="s">
        <v>31</v>
      </c>
      <c r="O669" s="9" t="s">
        <v>31</v>
      </c>
      <c r="P669" s="11" t="s">
        <v>31</v>
      </c>
      <c r="Q669" s="11" t="s">
        <v>31</v>
      </c>
      <c r="R669" s="33" t="s">
        <v>31</v>
      </c>
      <c r="S669" s="37">
        <f t="shared" si="108"/>
        <v>0.7546540692554321</v>
      </c>
      <c r="T669" s="37" t="e">
        <f t="shared" si="109"/>
        <v>#NUM!</v>
      </c>
      <c r="U669" s="42" t="e">
        <f t="shared" si="110"/>
        <v>#VALUE!</v>
      </c>
      <c r="V669" s="41" t="e">
        <f t="shared" si="111"/>
        <v>#VALUE!</v>
      </c>
      <c r="W669" s="43" t="e">
        <f t="shared" si="112"/>
        <v>#VALUE!</v>
      </c>
      <c r="X669" s="43" t="e">
        <f t="shared" si="113"/>
        <v>#VALUE!</v>
      </c>
    </row>
    <row r="670" spans="1:24" ht="14.25" customHeight="1">
      <c r="A670" s="46"/>
      <c r="B670" s="8">
        <v>5</v>
      </c>
      <c r="C670" s="8">
        <f t="shared" si="104"/>
        <v>2.5</v>
      </c>
      <c r="D670" s="16" t="s">
        <v>25</v>
      </c>
      <c r="E670" s="12" t="s">
        <v>246</v>
      </c>
      <c r="F670" s="17" t="s">
        <v>34</v>
      </c>
      <c r="G670" s="17" t="s">
        <v>37</v>
      </c>
      <c r="H670" s="17" t="s">
        <v>29</v>
      </c>
      <c r="I670" s="17" t="s">
        <v>36</v>
      </c>
      <c r="J670" s="8">
        <v>0.56840000000000002</v>
      </c>
      <c r="K670" s="8">
        <v>0.53100000000000003</v>
      </c>
      <c r="L670" s="8">
        <f t="shared" si="105"/>
        <v>-6.5798733286418001</v>
      </c>
      <c r="M670" s="9" t="s">
        <v>31</v>
      </c>
      <c r="N670" s="9" t="s">
        <v>31</v>
      </c>
      <c r="O670" s="9" t="s">
        <v>31</v>
      </c>
      <c r="P670" s="11" t="s">
        <v>31</v>
      </c>
      <c r="Q670" s="11" t="s">
        <v>31</v>
      </c>
      <c r="R670" s="33" t="s">
        <v>31</v>
      </c>
      <c r="S670" s="37">
        <f t="shared" si="108"/>
        <v>0.7546540692554321</v>
      </c>
      <c r="T670" s="37" t="e">
        <f t="shared" si="109"/>
        <v>#NUM!</v>
      </c>
      <c r="U670" s="42" t="e">
        <f t="shared" si="110"/>
        <v>#VALUE!</v>
      </c>
      <c r="V670" s="41" t="e">
        <f t="shared" si="111"/>
        <v>#VALUE!</v>
      </c>
      <c r="W670" s="43" t="e">
        <f t="shared" si="112"/>
        <v>#VALUE!</v>
      </c>
      <c r="X670" s="43" t="e">
        <f t="shared" si="113"/>
        <v>#VALUE!</v>
      </c>
    </row>
    <row r="671" spans="1:24" ht="14.25" customHeight="1">
      <c r="A671" s="46"/>
      <c r="B671" s="8">
        <v>5</v>
      </c>
      <c r="C671" s="8">
        <f t="shared" si="104"/>
        <v>2.5</v>
      </c>
      <c r="D671" s="16" t="s">
        <v>25</v>
      </c>
      <c r="E671" s="12" t="s">
        <v>246</v>
      </c>
      <c r="F671" s="17" t="s">
        <v>34</v>
      </c>
      <c r="G671" s="17" t="s">
        <v>37</v>
      </c>
      <c r="H671" s="17" t="s">
        <v>29</v>
      </c>
      <c r="I671" s="17" t="s">
        <v>36</v>
      </c>
      <c r="J671" s="8">
        <v>0.56840000000000002</v>
      </c>
      <c r="K671" s="8">
        <v>0.57299999999999995</v>
      </c>
      <c r="L671" s="8">
        <f t="shared" si="105"/>
        <v>0.80928923293454214</v>
      </c>
      <c r="M671" s="9" t="s">
        <v>31</v>
      </c>
      <c r="N671" s="9" t="s">
        <v>31</v>
      </c>
      <c r="O671" s="9" t="s">
        <v>31</v>
      </c>
      <c r="P671" s="11" t="s">
        <v>31</v>
      </c>
      <c r="Q671" s="11" t="s">
        <v>31</v>
      </c>
      <c r="R671" s="33" t="s">
        <v>31</v>
      </c>
      <c r="S671" s="37">
        <f t="shared" si="108"/>
        <v>0.7546540692554321</v>
      </c>
      <c r="T671" s="37">
        <f t="shared" si="109"/>
        <v>0.908103762426136</v>
      </c>
      <c r="U671" s="42" t="e">
        <f t="shared" si="110"/>
        <v>#VALUE!</v>
      </c>
      <c r="V671" s="41" t="e">
        <f t="shared" si="111"/>
        <v>#VALUE!</v>
      </c>
      <c r="W671" s="43" t="e">
        <f t="shared" si="112"/>
        <v>#VALUE!</v>
      </c>
      <c r="X671" s="43" t="e">
        <f t="shared" si="113"/>
        <v>#VALUE!</v>
      </c>
    </row>
    <row r="672" spans="1:24" ht="14.25" customHeight="1">
      <c r="A672" s="46"/>
      <c r="B672" s="8">
        <v>5</v>
      </c>
      <c r="C672" s="8">
        <f t="shared" si="104"/>
        <v>2.5</v>
      </c>
      <c r="D672" s="16" t="s">
        <v>25</v>
      </c>
      <c r="E672" s="12" t="s">
        <v>246</v>
      </c>
      <c r="F672" s="17" t="s">
        <v>34</v>
      </c>
      <c r="G672" s="17" t="s">
        <v>37</v>
      </c>
      <c r="H672" s="17" t="s">
        <v>29</v>
      </c>
      <c r="I672" s="17" t="s">
        <v>36</v>
      </c>
      <c r="J672" s="8">
        <v>0.56840000000000002</v>
      </c>
      <c r="K672" s="8">
        <v>0.59299999999999997</v>
      </c>
      <c r="L672" s="8">
        <f t="shared" si="105"/>
        <v>4.3279380717804283</v>
      </c>
      <c r="M672" s="9" t="s">
        <v>31</v>
      </c>
      <c r="N672" s="9" t="s">
        <v>31</v>
      </c>
      <c r="O672" s="9" t="s">
        <v>31</v>
      </c>
      <c r="P672" s="11" t="s">
        <v>31</v>
      </c>
      <c r="Q672" s="11" t="s">
        <v>31</v>
      </c>
      <c r="R672" s="33" t="s">
        <v>31</v>
      </c>
      <c r="S672" s="37">
        <f t="shared" si="108"/>
        <v>0.7546540692554321</v>
      </c>
      <c r="T672" s="37">
        <f t="shared" si="109"/>
        <v>1.6362810378479462</v>
      </c>
      <c r="U672" s="42" t="e">
        <f t="shared" si="110"/>
        <v>#VALUE!</v>
      </c>
      <c r="V672" s="41" t="e">
        <f t="shared" si="111"/>
        <v>#VALUE!</v>
      </c>
      <c r="W672" s="43" t="e">
        <f t="shared" si="112"/>
        <v>#VALUE!</v>
      </c>
      <c r="X672" s="43" t="e">
        <f t="shared" si="113"/>
        <v>#VALUE!</v>
      </c>
    </row>
    <row r="673" spans="1:24" ht="14.25" customHeight="1">
      <c r="A673" s="49"/>
      <c r="B673" s="8">
        <v>5</v>
      </c>
      <c r="C673" s="8">
        <f t="shared" si="104"/>
        <v>2.5</v>
      </c>
      <c r="D673" s="16" t="s">
        <v>25</v>
      </c>
      <c r="E673" s="12" t="s">
        <v>246</v>
      </c>
      <c r="F673" s="17" t="s">
        <v>34</v>
      </c>
      <c r="G673" s="17" t="s">
        <v>37</v>
      </c>
      <c r="H673" s="17" t="s">
        <v>29</v>
      </c>
      <c r="I673" s="17" t="s">
        <v>36</v>
      </c>
      <c r="J673" s="8">
        <v>0.56840000000000002</v>
      </c>
      <c r="K673" s="8">
        <v>0.60499999999999998</v>
      </c>
      <c r="L673" s="8">
        <f t="shared" si="105"/>
        <v>6.439127375087959</v>
      </c>
      <c r="M673" s="9" t="s">
        <v>31</v>
      </c>
      <c r="N673" s="9" t="s">
        <v>31</v>
      </c>
      <c r="O673" s="9" t="s">
        <v>31</v>
      </c>
      <c r="P673" s="11" t="s">
        <v>31</v>
      </c>
      <c r="Q673" s="11" t="s">
        <v>31</v>
      </c>
      <c r="R673" s="33" t="s">
        <v>31</v>
      </c>
      <c r="S673" s="37">
        <f t="shared" si="108"/>
        <v>0.7546540692554321</v>
      </c>
      <c r="T673" s="37">
        <f t="shared" si="109"/>
        <v>1.8088270161389781</v>
      </c>
      <c r="U673" s="42" t="e">
        <f t="shared" si="110"/>
        <v>#VALUE!</v>
      </c>
      <c r="V673" s="41" t="e">
        <f t="shared" si="111"/>
        <v>#VALUE!</v>
      </c>
      <c r="W673" s="43" t="e">
        <f t="shared" si="112"/>
        <v>#VALUE!</v>
      </c>
      <c r="X673" s="43" t="e">
        <f t="shared" si="113"/>
        <v>#VALUE!</v>
      </c>
    </row>
    <row r="674" spans="1:24" ht="14.25" customHeight="1">
      <c r="A674" s="49"/>
      <c r="B674" s="8">
        <v>5</v>
      </c>
      <c r="C674" s="8">
        <f t="shared" si="104"/>
        <v>2.5</v>
      </c>
      <c r="D674" s="16" t="s">
        <v>25</v>
      </c>
      <c r="E674" s="12" t="s">
        <v>246</v>
      </c>
      <c r="F674" s="17" t="s">
        <v>34</v>
      </c>
      <c r="G674" s="17" t="s">
        <v>37</v>
      </c>
      <c r="H674" s="17" t="s">
        <v>29</v>
      </c>
      <c r="I674" s="17" t="s">
        <v>36</v>
      </c>
      <c r="J674" s="8">
        <v>0.56840000000000002</v>
      </c>
      <c r="K674" s="8">
        <v>0.64</v>
      </c>
      <c r="L674" s="8">
        <f t="shared" si="105"/>
        <v>12.596762843068261</v>
      </c>
      <c r="M674" s="9" t="s">
        <v>31</v>
      </c>
      <c r="N674" s="9" t="s">
        <v>31</v>
      </c>
      <c r="O674" s="9" t="s">
        <v>31</v>
      </c>
      <c r="P674" s="11" t="s">
        <v>31</v>
      </c>
      <c r="Q674" s="11" t="s">
        <v>31</v>
      </c>
      <c r="R674" s="33" t="s">
        <v>31</v>
      </c>
      <c r="S674" s="37">
        <f t="shared" si="108"/>
        <v>0.7546540692554321</v>
      </c>
      <c r="T674" s="37">
        <f t="shared" si="109"/>
        <v>2.1002589530524234</v>
      </c>
      <c r="U674" s="42" t="e">
        <f t="shared" si="110"/>
        <v>#VALUE!</v>
      </c>
      <c r="V674" s="41" t="e">
        <f t="shared" si="111"/>
        <v>#VALUE!</v>
      </c>
      <c r="W674" s="43" t="e">
        <f t="shared" si="112"/>
        <v>#VALUE!</v>
      </c>
      <c r="X674" s="43" t="e">
        <f t="shared" si="113"/>
        <v>#VALUE!</v>
      </c>
    </row>
    <row r="675" spans="1:24" ht="14.25" customHeight="1">
      <c r="A675" s="49"/>
      <c r="B675" s="8">
        <v>5</v>
      </c>
      <c r="C675" s="8">
        <f t="shared" si="104"/>
        <v>2.5</v>
      </c>
      <c r="D675" s="16" t="s">
        <v>25</v>
      </c>
      <c r="E675" s="12" t="s">
        <v>246</v>
      </c>
      <c r="F675" s="17" t="s">
        <v>34</v>
      </c>
      <c r="G675" s="17" t="s">
        <v>37</v>
      </c>
      <c r="H675" s="17" t="s">
        <v>29</v>
      </c>
      <c r="I675" s="17" t="s">
        <v>36</v>
      </c>
      <c r="J675" s="8">
        <v>0.56840000000000002</v>
      </c>
      <c r="K675" s="8">
        <v>0.70099999999999996</v>
      </c>
      <c r="L675" s="8">
        <f t="shared" si="105"/>
        <v>23.328641801548194</v>
      </c>
      <c r="M675" s="9" t="s">
        <v>31</v>
      </c>
      <c r="N675" s="9" t="s">
        <v>31</v>
      </c>
      <c r="O675" s="9" t="s">
        <v>31</v>
      </c>
      <c r="P675" s="11" t="s">
        <v>31</v>
      </c>
      <c r="Q675" s="11" t="s">
        <v>31</v>
      </c>
      <c r="R675" s="33" t="s">
        <v>31</v>
      </c>
      <c r="S675" s="37">
        <f t="shared" si="108"/>
        <v>0.7546540692554321</v>
      </c>
      <c r="T675" s="37">
        <f t="shared" si="109"/>
        <v>2.367889454813322</v>
      </c>
      <c r="U675" s="42" t="e">
        <f t="shared" si="110"/>
        <v>#VALUE!</v>
      </c>
      <c r="V675" s="41" t="e">
        <f t="shared" si="111"/>
        <v>#VALUE!</v>
      </c>
      <c r="W675" s="43" t="e">
        <f t="shared" si="112"/>
        <v>#VALUE!</v>
      </c>
      <c r="X675" s="43" t="e">
        <f t="shared" si="113"/>
        <v>#VALUE!</v>
      </c>
    </row>
    <row r="676" spans="1:24" ht="14.25" customHeight="1">
      <c r="A676" s="50"/>
      <c r="B676" s="8">
        <v>5</v>
      </c>
      <c r="C676" s="8">
        <f t="shared" si="104"/>
        <v>2.5</v>
      </c>
      <c r="D676" s="16" t="s">
        <v>25</v>
      </c>
      <c r="E676" s="12" t="s">
        <v>246</v>
      </c>
      <c r="F676" s="17" t="s">
        <v>34</v>
      </c>
      <c r="G676" s="17" t="s">
        <v>37</v>
      </c>
      <c r="H676" s="17" t="s">
        <v>29</v>
      </c>
      <c r="I676" s="17" t="s">
        <v>36</v>
      </c>
      <c r="J676" s="8">
        <v>0.56840000000000002</v>
      </c>
      <c r="K676" s="8">
        <v>0.71299999999999997</v>
      </c>
      <c r="L676" s="8">
        <f t="shared" si="105"/>
        <v>25.439831104855728</v>
      </c>
      <c r="M676" s="9" t="s">
        <v>31</v>
      </c>
      <c r="N676" s="9" t="s">
        <v>31</v>
      </c>
      <c r="O676" s="9" t="s">
        <v>31</v>
      </c>
      <c r="P676" s="11" t="s">
        <v>31</v>
      </c>
      <c r="Q676" s="11" t="s">
        <v>31</v>
      </c>
      <c r="R676" s="33" t="s">
        <v>31</v>
      </c>
      <c r="S676" s="37">
        <f t="shared" si="108"/>
        <v>0.7546540692554321</v>
      </c>
      <c r="T676" s="37">
        <f t="shared" si="109"/>
        <v>2.4055142237030798</v>
      </c>
      <c r="U676" s="42" t="e">
        <f t="shared" si="110"/>
        <v>#VALUE!</v>
      </c>
      <c r="V676" s="41" t="e">
        <f t="shared" si="111"/>
        <v>#VALUE!</v>
      </c>
      <c r="W676" s="43" t="e">
        <f t="shared" si="112"/>
        <v>#VALUE!</v>
      </c>
      <c r="X676" s="43" t="e">
        <f t="shared" si="113"/>
        <v>#VALUE!</v>
      </c>
    </row>
    <row r="677" spans="1:24" ht="14.25" customHeight="1">
      <c r="A677" s="45" t="s">
        <v>247</v>
      </c>
      <c r="B677" s="8">
        <v>1.24</v>
      </c>
      <c r="C677" s="8">
        <f t="shared" si="104"/>
        <v>0.62</v>
      </c>
      <c r="D677" s="16" t="s">
        <v>25</v>
      </c>
      <c r="E677" s="12" t="s">
        <v>58</v>
      </c>
      <c r="F677" s="17" t="s">
        <v>34</v>
      </c>
      <c r="G677" s="17" t="s">
        <v>214</v>
      </c>
      <c r="H677" s="17" t="s">
        <v>29</v>
      </c>
      <c r="I677" s="17" t="s">
        <v>36</v>
      </c>
      <c r="J677" s="8">
        <v>2.4420000000000002</v>
      </c>
      <c r="K677" s="8">
        <v>3.55</v>
      </c>
      <c r="L677" s="8">
        <f t="shared" si="105"/>
        <v>45.372645372645351</v>
      </c>
      <c r="M677" s="9">
        <v>77.8</v>
      </c>
      <c r="N677" s="9">
        <v>98.7</v>
      </c>
      <c r="O677" s="10">
        <f t="shared" si="114"/>
        <v>26.86375321336762</v>
      </c>
      <c r="P677" s="11">
        <v>6</v>
      </c>
      <c r="Q677" s="11">
        <v>5.7</v>
      </c>
      <c r="R677" s="33">
        <f t="shared" si="115"/>
        <v>-4.9999999999999964</v>
      </c>
      <c r="S677" s="37">
        <f t="shared" si="108"/>
        <v>1.3877456596088638</v>
      </c>
      <c r="T677" s="37">
        <f t="shared" si="109"/>
        <v>2.6567941007835469</v>
      </c>
      <c r="U677" s="42">
        <f t="shared" si="110"/>
        <v>2.890979596989689</v>
      </c>
      <c r="V677" s="41">
        <f t="shared" si="111"/>
        <v>2.4291666891213652</v>
      </c>
      <c r="W677" s="43">
        <f t="shared" si="112"/>
        <v>1.7781512503836436</v>
      </c>
      <c r="X677" s="43" t="e">
        <f t="shared" si="113"/>
        <v>#NUM!</v>
      </c>
    </row>
    <row r="678" spans="1:24" ht="14.25" customHeight="1">
      <c r="A678" s="49"/>
      <c r="B678" s="8">
        <v>1.99</v>
      </c>
      <c r="C678" s="8">
        <f t="shared" si="104"/>
        <v>0.995</v>
      </c>
      <c r="D678" s="16" t="s">
        <v>25</v>
      </c>
      <c r="E678" s="12" t="s">
        <v>58</v>
      </c>
      <c r="F678" s="17" t="s">
        <v>34</v>
      </c>
      <c r="G678" s="17" t="s">
        <v>214</v>
      </c>
      <c r="H678" s="17" t="s">
        <v>29</v>
      </c>
      <c r="I678" s="17" t="s">
        <v>36</v>
      </c>
      <c r="J678" s="8">
        <v>2.4420000000000002</v>
      </c>
      <c r="K678" s="8">
        <v>4</v>
      </c>
      <c r="L678" s="8">
        <f t="shared" si="105"/>
        <v>63.800163800163787</v>
      </c>
      <c r="M678" s="9">
        <v>77.8</v>
      </c>
      <c r="N678" s="9">
        <v>103.2</v>
      </c>
      <c r="O678" s="10">
        <f t="shared" si="114"/>
        <v>32.647814910025716</v>
      </c>
      <c r="P678" s="11">
        <v>6</v>
      </c>
      <c r="Q678" s="11">
        <v>5.3</v>
      </c>
      <c r="R678" s="33">
        <f t="shared" si="115"/>
        <v>-11.66666666666667</v>
      </c>
      <c r="S678" s="37">
        <f t="shared" si="108"/>
        <v>1.3877456596088638</v>
      </c>
      <c r="T678" s="37">
        <f t="shared" si="109"/>
        <v>2.8048217937276818</v>
      </c>
      <c r="U678" s="42">
        <f t="shared" si="110"/>
        <v>2.890979596989689</v>
      </c>
      <c r="V678" s="41">
        <f t="shared" si="111"/>
        <v>2.5138541196302491</v>
      </c>
      <c r="W678" s="43">
        <f t="shared" si="112"/>
        <v>1.7781512503836436</v>
      </c>
      <c r="X678" s="43" t="e">
        <f t="shared" si="113"/>
        <v>#NUM!</v>
      </c>
    </row>
    <row r="679" spans="1:24" ht="14.25" customHeight="1">
      <c r="A679" s="49"/>
      <c r="B679" s="8">
        <v>2.76</v>
      </c>
      <c r="C679" s="8">
        <f t="shared" si="104"/>
        <v>1.38</v>
      </c>
      <c r="D679" s="16" t="s">
        <v>25</v>
      </c>
      <c r="E679" s="12" t="s">
        <v>58</v>
      </c>
      <c r="F679" s="17" t="s">
        <v>34</v>
      </c>
      <c r="G679" s="17" t="s">
        <v>214</v>
      </c>
      <c r="H679" s="17" t="s">
        <v>29</v>
      </c>
      <c r="I679" s="17" t="s">
        <v>36</v>
      </c>
      <c r="J679" s="8">
        <v>2.4420000000000002</v>
      </c>
      <c r="K679" s="8">
        <v>4.8</v>
      </c>
      <c r="L679" s="8">
        <f t="shared" si="105"/>
        <v>96.560196560196545</v>
      </c>
      <c r="M679" s="9">
        <v>77.8</v>
      </c>
      <c r="N679" s="9">
        <v>108</v>
      </c>
      <c r="O679" s="10">
        <f t="shared" si="114"/>
        <v>38.817480719794354</v>
      </c>
      <c r="P679" s="11">
        <v>6</v>
      </c>
      <c r="Q679" s="11">
        <v>4.3</v>
      </c>
      <c r="R679" s="33">
        <f t="shared" si="115"/>
        <v>-28.333333333333339</v>
      </c>
      <c r="S679" s="37">
        <f t="shared" si="108"/>
        <v>1.3877456596088638</v>
      </c>
      <c r="T679" s="37">
        <f t="shared" si="109"/>
        <v>2.9847981411502067</v>
      </c>
      <c r="U679" s="42">
        <f t="shared" si="110"/>
        <v>2.890979596989689</v>
      </c>
      <c r="V679" s="41">
        <f t="shared" si="111"/>
        <v>2.589027345967462</v>
      </c>
      <c r="W679" s="43">
        <f t="shared" si="112"/>
        <v>1.7781512503836436</v>
      </c>
      <c r="X679" s="43" t="e">
        <f t="shared" si="113"/>
        <v>#NUM!</v>
      </c>
    </row>
    <row r="680" spans="1:24" ht="14.25" customHeight="1">
      <c r="A680" s="49"/>
      <c r="B680" s="8">
        <v>1.24</v>
      </c>
      <c r="C680" s="8">
        <f t="shared" si="104"/>
        <v>0.62</v>
      </c>
      <c r="D680" s="16" t="s">
        <v>25</v>
      </c>
      <c r="E680" s="12" t="s">
        <v>58</v>
      </c>
      <c r="F680" s="17" t="s">
        <v>34</v>
      </c>
      <c r="G680" s="17" t="s">
        <v>214</v>
      </c>
      <c r="H680" s="17" t="s">
        <v>54</v>
      </c>
      <c r="I680" s="17" t="s">
        <v>36</v>
      </c>
      <c r="J680" s="8">
        <v>2.4420000000000002</v>
      </c>
      <c r="K680" s="8">
        <v>3.6</v>
      </c>
      <c r="L680" s="8">
        <f t="shared" si="105"/>
        <v>47.420147420147416</v>
      </c>
      <c r="M680" s="9">
        <v>77.8</v>
      </c>
      <c r="N680" s="9">
        <v>95</v>
      </c>
      <c r="O680" s="10">
        <f t="shared" si="114"/>
        <v>22.107969151670957</v>
      </c>
      <c r="P680" s="11">
        <v>6</v>
      </c>
      <c r="Q680" s="11">
        <v>5.5</v>
      </c>
      <c r="R680" s="33">
        <f t="shared" si="115"/>
        <v>-8.3333333333333321</v>
      </c>
      <c r="S680" s="37">
        <f t="shared" si="108"/>
        <v>1.3877456596088638</v>
      </c>
      <c r="T680" s="37">
        <f t="shared" si="109"/>
        <v>2.6759628997825535</v>
      </c>
      <c r="U680" s="42">
        <f t="shared" si="110"/>
        <v>2.890979596989689</v>
      </c>
      <c r="V680" s="41">
        <f t="shared" si="111"/>
        <v>2.3445488499178602</v>
      </c>
      <c r="W680" s="43">
        <f t="shared" si="112"/>
        <v>1.7781512503836436</v>
      </c>
      <c r="X680" s="43" t="e">
        <f t="shared" si="113"/>
        <v>#NUM!</v>
      </c>
    </row>
    <row r="681" spans="1:24" ht="14.25" customHeight="1">
      <c r="A681" s="49"/>
      <c r="B681" s="8">
        <v>1.99</v>
      </c>
      <c r="C681" s="8">
        <f t="shared" si="104"/>
        <v>0.995</v>
      </c>
      <c r="D681" s="16" t="s">
        <v>25</v>
      </c>
      <c r="E681" s="12" t="s">
        <v>58</v>
      </c>
      <c r="F681" s="17" t="s">
        <v>34</v>
      </c>
      <c r="G681" s="17" t="s">
        <v>214</v>
      </c>
      <c r="H681" s="17" t="s">
        <v>54</v>
      </c>
      <c r="I681" s="17" t="s">
        <v>36</v>
      </c>
      <c r="J681" s="8">
        <v>2.4420000000000002</v>
      </c>
      <c r="K681" s="8">
        <v>3.9</v>
      </c>
      <c r="L681" s="8">
        <f t="shared" si="105"/>
        <v>59.705159705159694</v>
      </c>
      <c r="M681" s="9">
        <v>77.8</v>
      </c>
      <c r="N681" s="9">
        <v>98</v>
      </c>
      <c r="O681" s="10">
        <f t="shared" si="114"/>
        <v>25.964010282776357</v>
      </c>
      <c r="P681" s="11">
        <v>6</v>
      </c>
      <c r="Q681" s="11">
        <v>5.2</v>
      </c>
      <c r="R681" s="33">
        <f t="shared" si="115"/>
        <v>-13.33333333333333</v>
      </c>
      <c r="S681" s="37">
        <f t="shared" si="108"/>
        <v>1.3877456596088638</v>
      </c>
      <c r="T681" s="37">
        <f t="shared" si="109"/>
        <v>2.7760118643730922</v>
      </c>
      <c r="U681" s="42">
        <f t="shared" si="110"/>
        <v>2.890979596989689</v>
      </c>
      <c r="V681" s="41">
        <f t="shared" si="111"/>
        <v>2.4143717724569349</v>
      </c>
      <c r="W681" s="43">
        <f t="shared" si="112"/>
        <v>1.7781512503836436</v>
      </c>
      <c r="X681" s="43" t="e">
        <f t="shared" si="113"/>
        <v>#NUM!</v>
      </c>
    </row>
    <row r="682" spans="1:24" ht="14.25" customHeight="1">
      <c r="A682" s="50"/>
      <c r="B682" s="8">
        <v>2.76</v>
      </c>
      <c r="C682" s="8">
        <f t="shared" si="104"/>
        <v>1.38</v>
      </c>
      <c r="D682" s="16" t="s">
        <v>25</v>
      </c>
      <c r="E682" s="12" t="s">
        <v>58</v>
      </c>
      <c r="F682" s="17" t="s">
        <v>34</v>
      </c>
      <c r="G682" s="17" t="s">
        <v>214</v>
      </c>
      <c r="H682" s="17" t="s">
        <v>54</v>
      </c>
      <c r="I682" s="17" t="s">
        <v>36</v>
      </c>
      <c r="J682" s="8">
        <v>2.4420000000000002</v>
      </c>
      <c r="K682" s="8">
        <v>4.8</v>
      </c>
      <c r="L682" s="8">
        <f t="shared" si="105"/>
        <v>96.560196560196545</v>
      </c>
      <c r="M682" s="9">
        <v>77.8</v>
      </c>
      <c r="N682" s="9">
        <v>108</v>
      </c>
      <c r="O682" s="10">
        <f t="shared" si="114"/>
        <v>38.817480719794354</v>
      </c>
      <c r="P682" s="11">
        <v>6</v>
      </c>
      <c r="Q682" s="11">
        <v>4.3</v>
      </c>
      <c r="R682" s="33">
        <f t="shared" si="115"/>
        <v>-28.333333333333339</v>
      </c>
      <c r="S682" s="37">
        <f t="shared" si="108"/>
        <v>1.3877456596088638</v>
      </c>
      <c r="T682" s="37">
        <f t="shared" si="109"/>
        <v>2.9847981411502067</v>
      </c>
      <c r="U682" s="42">
        <f t="shared" si="110"/>
        <v>2.890979596989689</v>
      </c>
      <c r="V682" s="41">
        <f t="shared" si="111"/>
        <v>2.589027345967462</v>
      </c>
      <c r="W682" s="43">
        <f t="shared" si="112"/>
        <v>1.7781512503836436</v>
      </c>
      <c r="X682" s="43" t="e">
        <f t="shared" si="113"/>
        <v>#NUM!</v>
      </c>
    </row>
    <row r="683" spans="1:24" ht="14.25" customHeight="1">
      <c r="A683" s="45" t="s">
        <v>248</v>
      </c>
      <c r="B683" s="8">
        <v>2</v>
      </c>
      <c r="C683" s="8">
        <f t="shared" si="104"/>
        <v>1</v>
      </c>
      <c r="D683" s="16" t="s">
        <v>25</v>
      </c>
      <c r="E683" s="12" t="s">
        <v>58</v>
      </c>
      <c r="F683" s="17" t="s">
        <v>34</v>
      </c>
      <c r="G683" s="17" t="s">
        <v>28</v>
      </c>
      <c r="H683" s="17" t="s">
        <v>29</v>
      </c>
      <c r="I683" s="17" t="s">
        <v>36</v>
      </c>
      <c r="J683" s="8">
        <v>3</v>
      </c>
      <c r="K683" s="8">
        <v>4.67</v>
      </c>
      <c r="L683" s="8">
        <f t="shared" si="105"/>
        <v>55.666666666666664</v>
      </c>
      <c r="M683" s="9" t="s">
        <v>31</v>
      </c>
      <c r="N683" s="9" t="s">
        <v>31</v>
      </c>
      <c r="O683" s="9" t="s">
        <v>31</v>
      </c>
      <c r="P683" s="11" t="s">
        <v>31</v>
      </c>
      <c r="Q683" s="11" t="s">
        <v>31</v>
      </c>
      <c r="R683" s="33" t="s">
        <v>31</v>
      </c>
      <c r="S683" s="37">
        <f t="shared" si="108"/>
        <v>1.4771212547196624</v>
      </c>
      <c r="T683" s="37">
        <f t="shared" si="109"/>
        <v>2.7455952164279207</v>
      </c>
      <c r="U683" s="42" t="e">
        <f t="shared" si="110"/>
        <v>#VALUE!</v>
      </c>
      <c r="V683" s="41" t="e">
        <f t="shared" si="111"/>
        <v>#VALUE!</v>
      </c>
      <c r="W683" s="43" t="e">
        <f t="shared" si="112"/>
        <v>#VALUE!</v>
      </c>
      <c r="X683" s="43" t="e">
        <f t="shared" si="113"/>
        <v>#VALUE!</v>
      </c>
    </row>
    <row r="684" spans="1:24" ht="14.25" customHeight="1">
      <c r="A684" s="49"/>
      <c r="B684" s="8">
        <v>2</v>
      </c>
      <c r="C684" s="8">
        <f t="shared" si="104"/>
        <v>1</v>
      </c>
      <c r="D684" s="16" t="s">
        <v>25</v>
      </c>
      <c r="E684" s="12" t="s">
        <v>58</v>
      </c>
      <c r="F684" s="17" t="s">
        <v>34</v>
      </c>
      <c r="G684" s="17" t="s">
        <v>37</v>
      </c>
      <c r="H684" s="17" t="s">
        <v>29</v>
      </c>
      <c r="I684" s="17" t="s">
        <v>36</v>
      </c>
      <c r="J684" s="8">
        <v>3</v>
      </c>
      <c r="K684" s="8">
        <v>4.09</v>
      </c>
      <c r="L684" s="8">
        <f t="shared" si="105"/>
        <v>36.333333333333329</v>
      </c>
      <c r="M684" s="9" t="s">
        <v>31</v>
      </c>
      <c r="N684" s="9" t="s">
        <v>31</v>
      </c>
      <c r="O684" s="9" t="s">
        <v>31</v>
      </c>
      <c r="P684" s="11" t="s">
        <v>31</v>
      </c>
      <c r="Q684" s="11" t="s">
        <v>31</v>
      </c>
      <c r="R684" s="33" t="s">
        <v>31</v>
      </c>
      <c r="S684" s="37">
        <f t="shared" si="108"/>
        <v>1.4771212547196624</v>
      </c>
      <c r="T684" s="37">
        <f t="shared" si="109"/>
        <v>2.5603052432209612</v>
      </c>
      <c r="U684" s="42" t="e">
        <f t="shared" si="110"/>
        <v>#VALUE!</v>
      </c>
      <c r="V684" s="41" t="e">
        <f t="shared" si="111"/>
        <v>#VALUE!</v>
      </c>
      <c r="W684" s="43" t="e">
        <f t="shared" si="112"/>
        <v>#VALUE!</v>
      </c>
      <c r="X684" s="43" t="e">
        <f t="shared" si="113"/>
        <v>#VALUE!</v>
      </c>
    </row>
    <row r="685" spans="1:24" ht="14.25" customHeight="1">
      <c r="A685" s="49"/>
      <c r="B685" s="8">
        <v>2</v>
      </c>
      <c r="C685" s="8">
        <f t="shared" si="104"/>
        <v>1</v>
      </c>
      <c r="D685" s="16" t="s">
        <v>25</v>
      </c>
      <c r="E685" s="12" t="s">
        <v>58</v>
      </c>
      <c r="F685" s="17" t="s">
        <v>34</v>
      </c>
      <c r="G685" s="17" t="s">
        <v>37</v>
      </c>
      <c r="H685" s="17" t="s">
        <v>29</v>
      </c>
      <c r="I685" s="17" t="s">
        <v>36</v>
      </c>
      <c r="J685" s="8">
        <v>3</v>
      </c>
      <c r="K685" s="8">
        <v>3.8</v>
      </c>
      <c r="L685" s="8">
        <f t="shared" si="105"/>
        <v>26.666666666666661</v>
      </c>
      <c r="M685" s="9" t="s">
        <v>31</v>
      </c>
      <c r="N685" s="9" t="s">
        <v>31</v>
      </c>
      <c r="O685" s="9" t="s">
        <v>31</v>
      </c>
      <c r="P685" s="11" t="s">
        <v>31</v>
      </c>
      <c r="Q685" s="11" t="s">
        <v>31</v>
      </c>
      <c r="R685" s="33" t="s">
        <v>31</v>
      </c>
      <c r="S685" s="37">
        <f t="shared" si="108"/>
        <v>1.4771212547196624</v>
      </c>
      <c r="T685" s="37">
        <f t="shared" si="109"/>
        <v>2.4259687322722812</v>
      </c>
      <c r="U685" s="42" t="e">
        <f t="shared" si="110"/>
        <v>#VALUE!</v>
      </c>
      <c r="V685" s="41" t="e">
        <f t="shared" si="111"/>
        <v>#VALUE!</v>
      </c>
      <c r="W685" s="43" t="e">
        <f t="shared" si="112"/>
        <v>#VALUE!</v>
      </c>
      <c r="X685" s="43" t="e">
        <f t="shared" si="113"/>
        <v>#VALUE!</v>
      </c>
    </row>
    <row r="686" spans="1:24" ht="14.25" customHeight="1">
      <c r="A686" s="49"/>
      <c r="B686" s="8">
        <v>2</v>
      </c>
      <c r="C686" s="8">
        <f t="shared" si="104"/>
        <v>1</v>
      </c>
      <c r="D686" s="16" t="s">
        <v>25</v>
      </c>
      <c r="E686" s="12" t="s">
        <v>58</v>
      </c>
      <c r="F686" s="17" t="s">
        <v>34</v>
      </c>
      <c r="G686" s="17" t="s">
        <v>28</v>
      </c>
      <c r="H686" s="17" t="s">
        <v>29</v>
      </c>
      <c r="I686" s="17" t="s">
        <v>161</v>
      </c>
      <c r="J686" s="8">
        <v>1.2</v>
      </c>
      <c r="K686" s="8">
        <v>1.28</v>
      </c>
      <c r="L686" s="8">
        <f t="shared" si="105"/>
        <v>6.6666666666666732</v>
      </c>
      <c r="M686" s="9" t="s">
        <v>31</v>
      </c>
      <c r="N686" s="9" t="s">
        <v>31</v>
      </c>
      <c r="O686" s="9" t="s">
        <v>31</v>
      </c>
      <c r="P686" s="11" t="s">
        <v>31</v>
      </c>
      <c r="Q686" s="11" t="s">
        <v>31</v>
      </c>
      <c r="R686" s="33" t="s">
        <v>31</v>
      </c>
      <c r="S686" s="37">
        <f t="shared" si="108"/>
        <v>1.0791812460476249</v>
      </c>
      <c r="T686" s="37">
        <f t="shared" si="109"/>
        <v>1.8239087409443191</v>
      </c>
      <c r="U686" s="42" t="e">
        <f t="shared" si="110"/>
        <v>#VALUE!</v>
      </c>
      <c r="V686" s="41" t="e">
        <f t="shared" si="111"/>
        <v>#VALUE!</v>
      </c>
      <c r="W686" s="43" t="e">
        <f t="shared" si="112"/>
        <v>#VALUE!</v>
      </c>
      <c r="X686" s="43" t="e">
        <f t="shared" si="113"/>
        <v>#VALUE!</v>
      </c>
    </row>
    <row r="687" spans="1:24" ht="14.25" customHeight="1">
      <c r="A687" s="49"/>
      <c r="B687" s="8">
        <v>2</v>
      </c>
      <c r="C687" s="8">
        <f t="shared" si="104"/>
        <v>1</v>
      </c>
      <c r="D687" s="16" t="s">
        <v>25</v>
      </c>
      <c r="E687" s="12" t="s">
        <v>58</v>
      </c>
      <c r="F687" s="17" t="s">
        <v>34</v>
      </c>
      <c r="G687" s="17" t="s">
        <v>37</v>
      </c>
      <c r="H687" s="17" t="s">
        <v>29</v>
      </c>
      <c r="I687" s="17" t="s">
        <v>161</v>
      </c>
      <c r="J687" s="8">
        <v>1.2</v>
      </c>
      <c r="K687" s="8">
        <v>1.1200000000000001</v>
      </c>
      <c r="L687" s="8">
        <f t="shared" si="105"/>
        <v>-6.6666666666666536</v>
      </c>
      <c r="M687" s="9" t="s">
        <v>31</v>
      </c>
      <c r="N687" s="9" t="s">
        <v>31</v>
      </c>
      <c r="O687" s="9" t="s">
        <v>31</v>
      </c>
      <c r="P687" s="11" t="s">
        <v>31</v>
      </c>
      <c r="Q687" s="11" t="s">
        <v>31</v>
      </c>
      <c r="R687" s="33" t="s">
        <v>31</v>
      </c>
      <c r="S687" s="37">
        <f t="shared" si="108"/>
        <v>1.0791812460476249</v>
      </c>
      <c r="T687" s="37" t="e">
        <f t="shared" si="109"/>
        <v>#NUM!</v>
      </c>
      <c r="U687" s="42" t="e">
        <f t="shared" si="110"/>
        <v>#VALUE!</v>
      </c>
      <c r="V687" s="41" t="e">
        <f t="shared" si="111"/>
        <v>#VALUE!</v>
      </c>
      <c r="W687" s="43" t="e">
        <f t="shared" si="112"/>
        <v>#VALUE!</v>
      </c>
      <c r="X687" s="43" t="e">
        <f t="shared" si="113"/>
        <v>#VALUE!</v>
      </c>
    </row>
    <row r="688" spans="1:24" ht="14.25" customHeight="1">
      <c r="A688" s="50"/>
      <c r="B688" s="8">
        <v>2</v>
      </c>
      <c r="C688" s="8">
        <f t="shared" si="104"/>
        <v>1</v>
      </c>
      <c r="D688" s="16" t="s">
        <v>25</v>
      </c>
      <c r="E688" s="12" t="s">
        <v>58</v>
      </c>
      <c r="F688" s="17" t="s">
        <v>34</v>
      </c>
      <c r="G688" s="17" t="s">
        <v>37</v>
      </c>
      <c r="H688" s="17" t="s">
        <v>29</v>
      </c>
      <c r="I688" s="17" t="s">
        <v>161</v>
      </c>
      <c r="J688" s="8">
        <v>1.2</v>
      </c>
      <c r="K688" s="8">
        <v>1.07</v>
      </c>
      <c r="L688" s="8">
        <f t="shared" si="105"/>
        <v>-10.833333333333325</v>
      </c>
      <c r="M688" s="9" t="s">
        <v>31</v>
      </c>
      <c r="N688" s="9" t="s">
        <v>31</v>
      </c>
      <c r="O688" s="9" t="s">
        <v>31</v>
      </c>
      <c r="P688" s="11" t="s">
        <v>31</v>
      </c>
      <c r="Q688" s="11" t="s">
        <v>31</v>
      </c>
      <c r="R688" s="33" t="s">
        <v>31</v>
      </c>
      <c r="S688" s="37">
        <f t="shared" si="108"/>
        <v>1.0791812460476249</v>
      </c>
      <c r="T688" s="37" t="e">
        <f t="shared" si="109"/>
        <v>#NUM!</v>
      </c>
      <c r="U688" s="42" t="e">
        <f t="shared" si="110"/>
        <v>#VALUE!</v>
      </c>
      <c r="V688" s="41" t="e">
        <f t="shared" si="111"/>
        <v>#VALUE!</v>
      </c>
      <c r="W688" s="43" t="e">
        <f t="shared" si="112"/>
        <v>#VALUE!</v>
      </c>
      <c r="X688" s="43" t="e">
        <f t="shared" si="113"/>
        <v>#VALUE!</v>
      </c>
    </row>
    <row r="689" spans="1:24" ht="14.25" customHeight="1">
      <c r="A689" s="45" t="s">
        <v>249</v>
      </c>
      <c r="B689" s="8">
        <v>1</v>
      </c>
      <c r="C689" s="8">
        <f t="shared" si="104"/>
        <v>0.5</v>
      </c>
      <c r="D689" s="16" t="s">
        <v>42</v>
      </c>
      <c r="E689" s="12" t="s">
        <v>148</v>
      </c>
      <c r="F689" s="17" t="s">
        <v>112</v>
      </c>
      <c r="G689" s="17" t="s">
        <v>37</v>
      </c>
      <c r="H689" s="17" t="s">
        <v>29</v>
      </c>
      <c r="I689" s="17" t="s">
        <v>161</v>
      </c>
      <c r="J689" s="8">
        <v>2.6</v>
      </c>
      <c r="K689" s="8">
        <v>2.4</v>
      </c>
      <c r="L689" s="8">
        <f t="shared" si="105"/>
        <v>-7.6923076923076987</v>
      </c>
      <c r="M689" s="9" t="s">
        <v>31</v>
      </c>
      <c r="N689" s="9" t="s">
        <v>31</v>
      </c>
      <c r="O689" s="9" t="s">
        <v>31</v>
      </c>
      <c r="P689" s="11" t="s">
        <v>31</v>
      </c>
      <c r="Q689" s="11" t="s">
        <v>31</v>
      </c>
      <c r="R689" s="33" t="s">
        <v>31</v>
      </c>
      <c r="S689" s="37">
        <f t="shared" si="108"/>
        <v>1.414973347970818</v>
      </c>
      <c r="T689" s="37" t="e">
        <f t="shared" si="109"/>
        <v>#NUM!</v>
      </c>
      <c r="U689" s="42" t="e">
        <f t="shared" si="110"/>
        <v>#VALUE!</v>
      </c>
      <c r="V689" s="41" t="e">
        <f t="shared" si="111"/>
        <v>#VALUE!</v>
      </c>
      <c r="W689" s="43" t="e">
        <f t="shared" si="112"/>
        <v>#VALUE!</v>
      </c>
      <c r="X689" s="43" t="e">
        <f t="shared" si="113"/>
        <v>#VALUE!</v>
      </c>
    </row>
    <row r="690" spans="1:24" ht="14.25" customHeight="1">
      <c r="A690" s="46"/>
      <c r="B690" s="8">
        <v>1</v>
      </c>
      <c r="C690" s="8">
        <f t="shared" si="104"/>
        <v>0.5</v>
      </c>
      <c r="D690" s="16" t="s">
        <v>42</v>
      </c>
      <c r="E690" s="12" t="s">
        <v>148</v>
      </c>
      <c r="F690" s="17" t="s">
        <v>34</v>
      </c>
      <c r="G690" s="17" t="s">
        <v>37</v>
      </c>
      <c r="H690" s="17" t="s">
        <v>29</v>
      </c>
      <c r="I690" s="17" t="s">
        <v>161</v>
      </c>
      <c r="J690" s="8">
        <v>2.6</v>
      </c>
      <c r="K690" s="8">
        <v>2.5</v>
      </c>
      <c r="L690" s="8">
        <f t="shared" si="105"/>
        <v>-3.8461538461538494</v>
      </c>
      <c r="M690" s="9" t="s">
        <v>31</v>
      </c>
      <c r="N690" s="9" t="s">
        <v>31</v>
      </c>
      <c r="O690" s="9" t="s">
        <v>31</v>
      </c>
      <c r="P690" s="11" t="s">
        <v>31</v>
      </c>
      <c r="Q690" s="11" t="s">
        <v>31</v>
      </c>
      <c r="R690" s="33" t="s">
        <v>31</v>
      </c>
      <c r="S690" s="37">
        <f t="shared" si="108"/>
        <v>1.414973347970818</v>
      </c>
      <c r="T690" s="37" t="e">
        <f t="shared" si="109"/>
        <v>#NUM!</v>
      </c>
      <c r="U690" s="42" t="e">
        <f t="shared" si="110"/>
        <v>#VALUE!</v>
      </c>
      <c r="V690" s="41" t="e">
        <f t="shared" si="111"/>
        <v>#VALUE!</v>
      </c>
      <c r="W690" s="43" t="e">
        <f t="shared" si="112"/>
        <v>#VALUE!</v>
      </c>
      <c r="X690" s="43" t="e">
        <f t="shared" si="113"/>
        <v>#VALUE!</v>
      </c>
    </row>
    <row r="691" spans="1:24" ht="14.25" customHeight="1">
      <c r="A691" s="46"/>
      <c r="B691" s="8">
        <v>1</v>
      </c>
      <c r="C691" s="8">
        <f t="shared" si="104"/>
        <v>0.5</v>
      </c>
      <c r="D691" s="16" t="s">
        <v>42</v>
      </c>
      <c r="E691" s="12" t="s">
        <v>148</v>
      </c>
      <c r="F691" s="17" t="s">
        <v>34</v>
      </c>
      <c r="G691" s="17" t="s">
        <v>37</v>
      </c>
      <c r="H691" s="17" t="s">
        <v>29</v>
      </c>
      <c r="I691" s="17" t="s">
        <v>161</v>
      </c>
      <c r="J691" s="8">
        <v>2.6</v>
      </c>
      <c r="K691" s="8">
        <v>2.2999999999999998</v>
      </c>
      <c r="L691" s="8">
        <f t="shared" si="105"/>
        <v>-11.538461538461549</v>
      </c>
      <c r="M691" s="9" t="s">
        <v>31</v>
      </c>
      <c r="N691" s="9" t="s">
        <v>31</v>
      </c>
      <c r="O691" s="9" t="s">
        <v>31</v>
      </c>
      <c r="P691" s="11" t="s">
        <v>31</v>
      </c>
      <c r="Q691" s="11" t="s">
        <v>31</v>
      </c>
      <c r="R691" s="33" t="s">
        <v>31</v>
      </c>
      <c r="S691" s="37">
        <f t="shared" si="108"/>
        <v>1.414973347970818</v>
      </c>
      <c r="T691" s="37" t="e">
        <f t="shared" si="109"/>
        <v>#NUM!</v>
      </c>
      <c r="U691" s="42" t="e">
        <f t="shared" si="110"/>
        <v>#VALUE!</v>
      </c>
      <c r="V691" s="41" t="e">
        <f t="shared" si="111"/>
        <v>#VALUE!</v>
      </c>
      <c r="W691" s="43" t="e">
        <f t="shared" si="112"/>
        <v>#VALUE!</v>
      </c>
      <c r="X691" s="43" t="e">
        <f t="shared" si="113"/>
        <v>#VALUE!</v>
      </c>
    </row>
    <row r="692" spans="1:24" ht="14.25" customHeight="1">
      <c r="A692" s="46"/>
      <c r="B692" s="8">
        <v>3</v>
      </c>
      <c r="C692" s="8">
        <f t="shared" si="104"/>
        <v>1.5</v>
      </c>
      <c r="D692" s="16" t="s">
        <v>42</v>
      </c>
      <c r="E692" s="12" t="s">
        <v>148</v>
      </c>
      <c r="F692" s="17" t="s">
        <v>34</v>
      </c>
      <c r="G692" s="17" t="s">
        <v>37</v>
      </c>
      <c r="H692" s="17" t="s">
        <v>29</v>
      </c>
      <c r="I692" s="17" t="s">
        <v>161</v>
      </c>
      <c r="J692" s="8">
        <v>2.6</v>
      </c>
      <c r="K692" s="8">
        <v>2.6</v>
      </c>
      <c r="L692" s="8">
        <f t="shared" si="105"/>
        <v>0</v>
      </c>
      <c r="M692" s="9" t="s">
        <v>31</v>
      </c>
      <c r="N692" s="9" t="s">
        <v>31</v>
      </c>
      <c r="O692" s="9" t="s">
        <v>31</v>
      </c>
      <c r="P692" s="11" t="s">
        <v>31</v>
      </c>
      <c r="Q692" s="11" t="s">
        <v>31</v>
      </c>
      <c r="R692" s="33" t="s">
        <v>31</v>
      </c>
      <c r="S692" s="37">
        <f t="shared" si="108"/>
        <v>1.414973347970818</v>
      </c>
      <c r="T692" s="37" t="e">
        <f t="shared" si="109"/>
        <v>#NUM!</v>
      </c>
      <c r="U692" s="42" t="e">
        <f t="shared" si="110"/>
        <v>#VALUE!</v>
      </c>
      <c r="V692" s="41" t="e">
        <f t="shared" si="111"/>
        <v>#VALUE!</v>
      </c>
      <c r="W692" s="43" t="e">
        <f t="shared" si="112"/>
        <v>#VALUE!</v>
      </c>
      <c r="X692" s="43" t="e">
        <f t="shared" si="113"/>
        <v>#VALUE!</v>
      </c>
    </row>
    <row r="693" spans="1:24" ht="14.25" customHeight="1">
      <c r="A693" s="46"/>
      <c r="B693" s="8">
        <v>3</v>
      </c>
      <c r="C693" s="8">
        <f t="shared" si="104"/>
        <v>1.5</v>
      </c>
      <c r="D693" s="16" t="s">
        <v>42</v>
      </c>
      <c r="E693" s="12" t="s">
        <v>148</v>
      </c>
      <c r="F693" s="17" t="s">
        <v>34</v>
      </c>
      <c r="G693" s="17" t="s">
        <v>37</v>
      </c>
      <c r="H693" s="17" t="s">
        <v>29</v>
      </c>
      <c r="I693" s="17" t="s">
        <v>161</v>
      </c>
      <c r="J693" s="8">
        <v>2.6</v>
      </c>
      <c r="K693" s="8">
        <v>2.2999999999999998</v>
      </c>
      <c r="L693" s="8">
        <f t="shared" si="105"/>
        <v>-11.538461538461549</v>
      </c>
      <c r="M693" s="9" t="s">
        <v>31</v>
      </c>
      <c r="N693" s="9" t="s">
        <v>31</v>
      </c>
      <c r="O693" s="9" t="s">
        <v>31</v>
      </c>
      <c r="P693" s="11" t="s">
        <v>31</v>
      </c>
      <c r="Q693" s="11" t="s">
        <v>31</v>
      </c>
      <c r="R693" s="33" t="s">
        <v>31</v>
      </c>
      <c r="S693" s="37">
        <f t="shared" si="108"/>
        <v>1.414973347970818</v>
      </c>
      <c r="T693" s="37" t="e">
        <f t="shared" si="109"/>
        <v>#NUM!</v>
      </c>
      <c r="U693" s="42" t="e">
        <f t="shared" si="110"/>
        <v>#VALUE!</v>
      </c>
      <c r="V693" s="41" t="e">
        <f t="shared" si="111"/>
        <v>#VALUE!</v>
      </c>
      <c r="W693" s="43" t="e">
        <f t="shared" si="112"/>
        <v>#VALUE!</v>
      </c>
      <c r="X693" s="43" t="e">
        <f t="shared" si="113"/>
        <v>#VALUE!</v>
      </c>
    </row>
    <row r="694" spans="1:24" ht="14.25" customHeight="1">
      <c r="A694" s="49"/>
      <c r="B694" s="8">
        <v>3</v>
      </c>
      <c r="C694" s="8">
        <f t="shared" si="104"/>
        <v>1.5</v>
      </c>
      <c r="D694" s="16" t="s">
        <v>42</v>
      </c>
      <c r="E694" s="12" t="s">
        <v>148</v>
      </c>
      <c r="F694" s="17" t="s">
        <v>34</v>
      </c>
      <c r="G694" s="17" t="s">
        <v>37</v>
      </c>
      <c r="H694" s="17" t="s">
        <v>29</v>
      </c>
      <c r="I694" s="17" t="s">
        <v>161</v>
      </c>
      <c r="J694" s="8">
        <v>2.6</v>
      </c>
      <c r="K694" s="8">
        <v>2.2999999999999998</v>
      </c>
      <c r="L694" s="8">
        <f t="shared" si="105"/>
        <v>-11.538461538461549</v>
      </c>
      <c r="M694" s="9" t="s">
        <v>31</v>
      </c>
      <c r="N694" s="9" t="s">
        <v>31</v>
      </c>
      <c r="O694" s="9" t="s">
        <v>31</v>
      </c>
      <c r="P694" s="11" t="s">
        <v>31</v>
      </c>
      <c r="Q694" s="11" t="s">
        <v>31</v>
      </c>
      <c r="R694" s="33" t="s">
        <v>31</v>
      </c>
      <c r="S694" s="37">
        <f t="shared" si="108"/>
        <v>1.414973347970818</v>
      </c>
      <c r="T694" s="37" t="e">
        <f t="shared" si="109"/>
        <v>#NUM!</v>
      </c>
      <c r="U694" s="42" t="e">
        <f t="shared" si="110"/>
        <v>#VALUE!</v>
      </c>
      <c r="V694" s="41" t="e">
        <f t="shared" si="111"/>
        <v>#VALUE!</v>
      </c>
      <c r="W694" s="43" t="e">
        <f t="shared" si="112"/>
        <v>#VALUE!</v>
      </c>
      <c r="X694" s="43" t="e">
        <f t="shared" si="113"/>
        <v>#VALUE!</v>
      </c>
    </row>
    <row r="695" spans="1:24" ht="14.25" customHeight="1">
      <c r="A695" s="49"/>
      <c r="B695" s="8">
        <v>3</v>
      </c>
      <c r="C695" s="8">
        <f t="shared" si="104"/>
        <v>1.5</v>
      </c>
      <c r="D695" s="16" t="s">
        <v>42</v>
      </c>
      <c r="E695" s="12" t="s">
        <v>148</v>
      </c>
      <c r="F695" s="17" t="s">
        <v>112</v>
      </c>
      <c r="G695" s="17" t="s">
        <v>37</v>
      </c>
      <c r="H695" s="17" t="s">
        <v>29</v>
      </c>
      <c r="I695" s="17" t="s">
        <v>132</v>
      </c>
      <c r="J695" s="8">
        <v>4.01</v>
      </c>
      <c r="K695" s="8">
        <v>4.0999999999999996</v>
      </c>
      <c r="L695" s="8">
        <f t="shared" si="105"/>
        <v>2.244389027431418</v>
      </c>
      <c r="M695" s="9">
        <v>0.14499999999999999</v>
      </c>
      <c r="N695" s="9">
        <v>0.22</v>
      </c>
      <c r="O695" s="10">
        <f t="shared" si="114"/>
        <v>51.724137931034498</v>
      </c>
      <c r="P695" s="11" t="s">
        <v>31</v>
      </c>
      <c r="Q695" s="11" t="s">
        <v>31</v>
      </c>
      <c r="R695" s="33" t="s">
        <v>31</v>
      </c>
      <c r="S695" s="37">
        <f t="shared" si="108"/>
        <v>1.6031443726201822</v>
      </c>
      <c r="T695" s="37">
        <f t="shared" si="109"/>
        <v>1.3510981368191419</v>
      </c>
      <c r="U695" s="42">
        <f t="shared" si="110"/>
        <v>0.16136800223497488</v>
      </c>
      <c r="V695" s="41">
        <f t="shared" si="111"/>
        <v>2.7136932611567253</v>
      </c>
      <c r="W695" s="43" t="e">
        <f t="shared" si="112"/>
        <v>#VALUE!</v>
      </c>
      <c r="X695" s="43" t="e">
        <f t="shared" si="113"/>
        <v>#VALUE!</v>
      </c>
    </row>
    <row r="696" spans="1:24" ht="14.25" customHeight="1">
      <c r="A696" s="49"/>
      <c r="B696" s="8">
        <v>3</v>
      </c>
      <c r="C696" s="8">
        <f t="shared" si="104"/>
        <v>1.5</v>
      </c>
      <c r="D696" s="16" t="s">
        <v>42</v>
      </c>
      <c r="E696" s="12" t="s">
        <v>148</v>
      </c>
      <c r="F696" s="17" t="s">
        <v>34</v>
      </c>
      <c r="G696" s="17" t="s">
        <v>37</v>
      </c>
      <c r="H696" s="17" t="s">
        <v>29</v>
      </c>
      <c r="I696" s="17" t="s">
        <v>132</v>
      </c>
      <c r="J696" s="8">
        <v>4.01</v>
      </c>
      <c r="K696" s="8">
        <v>4.2699999999999996</v>
      </c>
      <c r="L696" s="8">
        <f t="shared" si="105"/>
        <v>6.4837905236907671</v>
      </c>
      <c r="M696" s="9">
        <v>0.14499999999999999</v>
      </c>
      <c r="N696" s="9">
        <v>0.193</v>
      </c>
      <c r="O696" s="10">
        <f t="shared" si="114"/>
        <v>33.103448275862078</v>
      </c>
      <c r="P696" s="11" t="s">
        <v>31</v>
      </c>
      <c r="Q696" s="11" t="s">
        <v>31</v>
      </c>
      <c r="R696" s="33" t="s">
        <v>31</v>
      </c>
      <c r="S696" s="37">
        <f t="shared" si="108"/>
        <v>1.6031443726201822</v>
      </c>
      <c r="T696" s="37">
        <f t="shared" si="109"/>
        <v>1.8118289753506354</v>
      </c>
      <c r="U696" s="42">
        <f t="shared" si="110"/>
        <v>0.16136800223497488</v>
      </c>
      <c r="V696" s="41">
        <f t="shared" si="111"/>
        <v>2.5198732351406123</v>
      </c>
      <c r="W696" s="43" t="e">
        <f t="shared" si="112"/>
        <v>#VALUE!</v>
      </c>
      <c r="X696" s="43" t="e">
        <f t="shared" si="113"/>
        <v>#VALUE!</v>
      </c>
    </row>
    <row r="697" spans="1:24" ht="14.25" customHeight="1">
      <c r="A697" s="50"/>
      <c r="B697" s="8">
        <v>3</v>
      </c>
      <c r="C697" s="8">
        <f t="shared" si="104"/>
        <v>1.5</v>
      </c>
      <c r="D697" s="16" t="s">
        <v>42</v>
      </c>
      <c r="E697" s="12" t="s">
        <v>148</v>
      </c>
      <c r="F697" s="17" t="s">
        <v>34</v>
      </c>
      <c r="G697" s="17" t="s">
        <v>37</v>
      </c>
      <c r="H697" s="17" t="s">
        <v>29</v>
      </c>
      <c r="I697" s="17" t="s">
        <v>132</v>
      </c>
      <c r="J697" s="8">
        <v>4.01</v>
      </c>
      <c r="K697" s="8">
        <v>4.37</v>
      </c>
      <c r="L697" s="8">
        <f t="shared" si="105"/>
        <v>8.9775561097256951</v>
      </c>
      <c r="M697" s="9">
        <v>0.14499999999999999</v>
      </c>
      <c r="N697" s="9">
        <v>0.16200000000000001</v>
      </c>
      <c r="O697" s="10">
        <f t="shared" si="114"/>
        <v>11.724137931034493</v>
      </c>
      <c r="P697" s="11" t="s">
        <v>31</v>
      </c>
      <c r="Q697" s="11" t="s">
        <v>31</v>
      </c>
      <c r="R697" s="33" t="s">
        <v>31</v>
      </c>
      <c r="S697" s="37">
        <f t="shared" si="108"/>
        <v>1.6031443726201822</v>
      </c>
      <c r="T697" s="37">
        <f t="shared" si="109"/>
        <v>1.9531581281471053</v>
      </c>
      <c r="U697" s="42">
        <f t="shared" si="110"/>
        <v>0.16136800223497488</v>
      </c>
      <c r="V697" s="41">
        <f t="shared" si="111"/>
        <v>2.0690809191432993</v>
      </c>
      <c r="W697" s="43" t="e">
        <f t="shared" si="112"/>
        <v>#VALUE!</v>
      </c>
      <c r="X697" s="43" t="e">
        <f t="shared" si="113"/>
        <v>#VALUE!</v>
      </c>
    </row>
    <row r="698" spans="1:24" ht="14.25" customHeight="1">
      <c r="A698" s="45" t="s">
        <v>250</v>
      </c>
      <c r="B698" s="8">
        <v>0.2</v>
      </c>
      <c r="C698" s="8">
        <f t="shared" si="104"/>
        <v>0.1</v>
      </c>
      <c r="D698" s="16" t="s">
        <v>25</v>
      </c>
      <c r="E698" s="12" t="s">
        <v>33</v>
      </c>
      <c r="F698" s="17" t="s">
        <v>34</v>
      </c>
      <c r="G698" s="17" t="s">
        <v>37</v>
      </c>
      <c r="H698" s="17" t="s">
        <v>29</v>
      </c>
      <c r="I698" s="17" t="s">
        <v>36</v>
      </c>
      <c r="J698" s="8">
        <v>1.2</v>
      </c>
      <c r="K698" s="8">
        <v>1.3169999999999999</v>
      </c>
      <c r="L698" s="8">
        <f t="shared" si="105"/>
        <v>9.75</v>
      </c>
      <c r="M698" s="9">
        <v>25.122</v>
      </c>
      <c r="N698" s="9">
        <v>27.826000000000001</v>
      </c>
      <c r="O698" s="10">
        <f t="shared" si="114"/>
        <v>10.763474245681079</v>
      </c>
      <c r="P698" s="11">
        <v>1.0233000000000001</v>
      </c>
      <c r="Q698" s="11">
        <v>1.0258</v>
      </c>
      <c r="R698" s="33">
        <f t="shared" si="115"/>
        <v>0.24430763217042376</v>
      </c>
      <c r="S698" s="37">
        <f t="shared" si="108"/>
        <v>1.0791812460476249</v>
      </c>
      <c r="T698" s="37">
        <f t="shared" si="109"/>
        <v>1.9890046156985368</v>
      </c>
      <c r="U698" s="42">
        <f t="shared" si="110"/>
        <v>2.4000542112748739</v>
      </c>
      <c r="V698" s="41">
        <f t="shared" si="111"/>
        <v>2.0319524759947245</v>
      </c>
      <c r="W698" s="43">
        <f t="shared" si="112"/>
        <v>1.0100029741270597</v>
      </c>
      <c r="X698" s="43">
        <f t="shared" si="113"/>
        <v>0.38793703454496864</v>
      </c>
    </row>
    <row r="699" spans="1:24" ht="14.25" customHeight="1">
      <c r="A699" s="46"/>
      <c r="B699" s="8">
        <v>1</v>
      </c>
      <c r="C699" s="8">
        <f t="shared" si="104"/>
        <v>0.5</v>
      </c>
      <c r="D699" s="16" t="s">
        <v>25</v>
      </c>
      <c r="E699" s="12" t="s">
        <v>33</v>
      </c>
      <c r="F699" s="17" t="s">
        <v>34</v>
      </c>
      <c r="G699" s="17" t="s">
        <v>37</v>
      </c>
      <c r="H699" s="17" t="s">
        <v>29</v>
      </c>
      <c r="I699" s="17" t="s">
        <v>36</v>
      </c>
      <c r="J699" s="8">
        <v>1.2</v>
      </c>
      <c r="K699" s="8">
        <v>1.508</v>
      </c>
      <c r="L699" s="8">
        <f t="shared" si="105"/>
        <v>25.666666666666671</v>
      </c>
      <c r="M699" s="9">
        <v>25.122</v>
      </c>
      <c r="N699" s="9">
        <v>29.277000000000001</v>
      </c>
      <c r="O699" s="10">
        <f t="shared" si="114"/>
        <v>16.539288273226656</v>
      </c>
      <c r="P699" s="11">
        <v>1.0233000000000001</v>
      </c>
      <c r="Q699" s="11">
        <v>1.0267999999999999</v>
      </c>
      <c r="R699" s="33">
        <f t="shared" si="115"/>
        <v>0.34203068503858458</v>
      </c>
      <c r="S699" s="37">
        <f t="shared" si="108"/>
        <v>1.0791812460476249</v>
      </c>
      <c r="T699" s="37">
        <f t="shared" si="109"/>
        <v>2.4093694704528197</v>
      </c>
      <c r="U699" s="42">
        <f t="shared" si="110"/>
        <v>2.4000542112748739</v>
      </c>
      <c r="V699" s="41">
        <f t="shared" si="111"/>
        <v>2.2185168168452556</v>
      </c>
      <c r="W699" s="43">
        <f t="shared" si="112"/>
        <v>1.0100029741270597</v>
      </c>
      <c r="X699" s="43">
        <f t="shared" si="113"/>
        <v>0.5340650702231956</v>
      </c>
    </row>
    <row r="700" spans="1:24" ht="14.25" customHeight="1">
      <c r="A700" s="46"/>
      <c r="B700" s="8">
        <v>3</v>
      </c>
      <c r="C700" s="8">
        <f t="shared" si="104"/>
        <v>1.5</v>
      </c>
      <c r="D700" s="16" t="s">
        <v>25</v>
      </c>
      <c r="E700" s="12" t="s">
        <v>33</v>
      </c>
      <c r="F700" s="17" t="s">
        <v>34</v>
      </c>
      <c r="G700" s="17" t="s">
        <v>37</v>
      </c>
      <c r="H700" s="17" t="s">
        <v>29</v>
      </c>
      <c r="I700" s="17" t="s">
        <v>36</v>
      </c>
      <c r="J700" s="8">
        <v>1.2</v>
      </c>
      <c r="K700" s="8">
        <v>1.6279999999999999</v>
      </c>
      <c r="L700" s="8">
        <f t="shared" si="105"/>
        <v>35.666666666666664</v>
      </c>
      <c r="M700" s="9">
        <v>25.122</v>
      </c>
      <c r="N700" s="9">
        <v>29.9</v>
      </c>
      <c r="O700" s="10">
        <f t="shared" si="114"/>
        <v>19.019186370511896</v>
      </c>
      <c r="P700" s="11">
        <v>1.0233000000000001</v>
      </c>
      <c r="Q700" s="11">
        <v>1.0397000000000001</v>
      </c>
      <c r="R700" s="33">
        <f t="shared" si="115"/>
        <v>1.6026580670380111</v>
      </c>
      <c r="S700" s="37">
        <f t="shared" si="108"/>
        <v>1.0791812460476249</v>
      </c>
      <c r="T700" s="37">
        <f t="shared" si="109"/>
        <v>2.5522625229655471</v>
      </c>
      <c r="U700" s="42">
        <f t="shared" si="110"/>
        <v>2.4000542112748739</v>
      </c>
      <c r="V700" s="41">
        <f t="shared" si="111"/>
        <v>2.2791919341389848</v>
      </c>
      <c r="W700" s="43">
        <f t="shared" si="112"/>
        <v>1.0100029741270597</v>
      </c>
      <c r="X700" s="43">
        <f t="shared" si="113"/>
        <v>1.2048408739206373</v>
      </c>
    </row>
    <row r="701" spans="1:24" ht="14.25" customHeight="1">
      <c r="A701" s="46"/>
      <c r="B701" s="8">
        <v>6</v>
      </c>
      <c r="C701" s="8">
        <f t="shared" si="104"/>
        <v>3</v>
      </c>
      <c r="D701" s="16" t="s">
        <v>25</v>
      </c>
      <c r="E701" s="12" t="s">
        <v>33</v>
      </c>
      <c r="F701" s="17" t="s">
        <v>34</v>
      </c>
      <c r="G701" s="17" t="s">
        <v>37</v>
      </c>
      <c r="H701" s="17" t="s">
        <v>29</v>
      </c>
      <c r="I701" s="17" t="s">
        <v>36</v>
      </c>
      <c r="J701" s="8">
        <v>1.2</v>
      </c>
      <c r="K701" s="8">
        <v>1.6459999999999999</v>
      </c>
      <c r="L701" s="8">
        <f t="shared" si="105"/>
        <v>37.166666666666664</v>
      </c>
      <c r="M701" s="9">
        <v>25.122</v>
      </c>
      <c r="N701" s="9">
        <v>30.009</v>
      </c>
      <c r="O701" s="10">
        <f t="shared" si="114"/>
        <v>19.453069023166947</v>
      </c>
      <c r="P701" s="11">
        <v>1.0233000000000001</v>
      </c>
      <c r="Q701" s="11">
        <v>1.0331999999999999</v>
      </c>
      <c r="R701" s="33">
        <f t="shared" si="115"/>
        <v>0.96745822339487897</v>
      </c>
      <c r="S701" s="37">
        <f t="shared" si="108"/>
        <v>1.0791812460476249</v>
      </c>
      <c r="T701" s="37">
        <f t="shared" si="109"/>
        <v>2.5701536126645168</v>
      </c>
      <c r="U701" s="42">
        <f t="shared" si="110"/>
        <v>2.4000542112748739</v>
      </c>
      <c r="V701" s="41">
        <f t="shared" si="111"/>
        <v>2.288988127753298</v>
      </c>
      <c r="W701" s="43">
        <f t="shared" si="112"/>
        <v>1.0100029741270597</v>
      </c>
      <c r="X701" s="43">
        <f t="shared" si="113"/>
        <v>0.98563222047048138</v>
      </c>
    </row>
    <row r="702" spans="1:24" ht="14.25" customHeight="1">
      <c r="A702" s="46"/>
      <c r="B702" s="8">
        <v>10</v>
      </c>
      <c r="C702" s="8">
        <f t="shared" si="104"/>
        <v>5</v>
      </c>
      <c r="D702" s="16" t="s">
        <v>25</v>
      </c>
      <c r="E702" s="12" t="s">
        <v>33</v>
      </c>
      <c r="F702" s="17" t="s">
        <v>34</v>
      </c>
      <c r="G702" s="17" t="s">
        <v>37</v>
      </c>
      <c r="H702" s="17" t="s">
        <v>29</v>
      </c>
      <c r="I702" s="17" t="s">
        <v>36</v>
      </c>
      <c r="J702" s="8">
        <v>1.2</v>
      </c>
      <c r="K702" s="8">
        <v>1.742</v>
      </c>
      <c r="L702" s="8">
        <f t="shared" si="105"/>
        <v>45.166666666666671</v>
      </c>
      <c r="M702" s="9">
        <v>25.122</v>
      </c>
      <c r="N702" s="9">
        <v>30.073</v>
      </c>
      <c r="O702" s="10">
        <f t="shared" si="114"/>
        <v>19.707825810046973</v>
      </c>
      <c r="P702" s="11">
        <v>1.0233000000000001</v>
      </c>
      <c r="Q702" s="11">
        <v>1.0330999999999999</v>
      </c>
      <c r="R702" s="33">
        <f t="shared" si="115"/>
        <v>0.95768591810806303</v>
      </c>
      <c r="S702" s="37">
        <f t="shared" si="108"/>
        <v>1.0791812460476249</v>
      </c>
      <c r="T702" s="37">
        <f t="shared" si="109"/>
        <v>2.654818040490762</v>
      </c>
      <c r="U702" s="42">
        <f t="shared" si="110"/>
        <v>2.4000542112748739</v>
      </c>
      <c r="V702" s="41">
        <f t="shared" si="111"/>
        <v>2.2946387150566099</v>
      </c>
      <c r="W702" s="43">
        <f t="shared" si="112"/>
        <v>1.0100029741270597</v>
      </c>
      <c r="X702" s="43">
        <f t="shared" si="113"/>
        <v>0.98122310156542669</v>
      </c>
    </row>
    <row r="703" spans="1:24" ht="14.25" customHeight="1">
      <c r="A703" s="49"/>
      <c r="B703" s="8">
        <v>1</v>
      </c>
      <c r="C703" s="8">
        <f t="shared" si="104"/>
        <v>0.5</v>
      </c>
      <c r="D703" s="16" t="s">
        <v>42</v>
      </c>
      <c r="E703" s="12" t="s">
        <v>251</v>
      </c>
      <c r="F703" s="17" t="s">
        <v>34</v>
      </c>
      <c r="G703" s="17" t="s">
        <v>37</v>
      </c>
      <c r="H703" s="17" t="s">
        <v>29</v>
      </c>
      <c r="I703" s="17" t="s">
        <v>36</v>
      </c>
      <c r="J703" s="8">
        <v>2.8176999999999999</v>
      </c>
      <c r="K703" s="8">
        <v>2.9127000000000001</v>
      </c>
      <c r="L703" s="8">
        <f t="shared" si="105"/>
        <v>3.3715441672285977</v>
      </c>
      <c r="M703" s="9">
        <v>59.06</v>
      </c>
      <c r="N703" s="9">
        <v>58.84</v>
      </c>
      <c r="O703" s="10">
        <f t="shared" si="114"/>
        <v>-0.37250253979004211</v>
      </c>
      <c r="P703" s="11">
        <v>3.2000000000000001E-2</v>
      </c>
      <c r="Q703" s="11">
        <v>3.2000000000000001E-2</v>
      </c>
      <c r="R703" s="33">
        <f t="shared" si="115"/>
        <v>0</v>
      </c>
      <c r="S703" s="37">
        <f t="shared" si="108"/>
        <v>1.4498947519812109</v>
      </c>
      <c r="T703" s="37">
        <f t="shared" si="109"/>
        <v>1.5278288533076376</v>
      </c>
      <c r="U703" s="42">
        <f t="shared" si="110"/>
        <v>2.7712934426290596</v>
      </c>
      <c r="V703" s="41" t="e">
        <f t="shared" si="111"/>
        <v>#NUM!</v>
      </c>
      <c r="W703" s="43">
        <f t="shared" si="112"/>
        <v>-0.49485002168009401</v>
      </c>
      <c r="X703" s="43" t="e">
        <f t="shared" si="113"/>
        <v>#NUM!</v>
      </c>
    </row>
    <row r="704" spans="1:24" ht="14.25" customHeight="1">
      <c r="A704" s="49"/>
      <c r="B704" s="8">
        <v>3</v>
      </c>
      <c r="C704" s="8">
        <f t="shared" si="104"/>
        <v>1.5</v>
      </c>
      <c r="D704" s="16" t="s">
        <v>42</v>
      </c>
      <c r="E704" s="12" t="s">
        <v>251</v>
      </c>
      <c r="F704" s="17" t="s">
        <v>34</v>
      </c>
      <c r="G704" s="17" t="s">
        <v>37</v>
      </c>
      <c r="H704" s="17" t="s">
        <v>29</v>
      </c>
      <c r="I704" s="17" t="s">
        <v>36</v>
      </c>
      <c r="J704" s="8">
        <v>2.8176999999999999</v>
      </c>
      <c r="K704" s="8">
        <v>2.984</v>
      </c>
      <c r="L704" s="8">
        <f t="shared" si="105"/>
        <v>5.9019767895801589</v>
      </c>
      <c r="M704" s="9">
        <v>59.06</v>
      </c>
      <c r="N704" s="9">
        <v>50.99</v>
      </c>
      <c r="O704" s="10">
        <f t="shared" si="114"/>
        <v>-13.664070436843886</v>
      </c>
      <c r="P704" s="11">
        <v>3.2000000000000001E-2</v>
      </c>
      <c r="Q704" s="11">
        <v>2.1999999999999999E-2</v>
      </c>
      <c r="R704" s="33">
        <f t="shared" si="115"/>
        <v>-31.250000000000007</v>
      </c>
      <c r="S704" s="37">
        <f t="shared" si="108"/>
        <v>1.4498947519812109</v>
      </c>
      <c r="T704" s="37">
        <f t="shared" si="109"/>
        <v>1.7709974972383087</v>
      </c>
      <c r="U704" s="42">
        <f t="shared" si="110"/>
        <v>2.7712934426290596</v>
      </c>
      <c r="V704" s="41" t="e">
        <f t="shared" si="111"/>
        <v>#NUM!</v>
      </c>
      <c r="W704" s="43">
        <f t="shared" si="112"/>
        <v>-0.49485002168009401</v>
      </c>
      <c r="X704" s="43" t="e">
        <f t="shared" si="113"/>
        <v>#NUM!</v>
      </c>
    </row>
    <row r="705" spans="1:24" ht="14.25" customHeight="1">
      <c r="A705" s="49"/>
      <c r="B705" s="8">
        <v>6</v>
      </c>
      <c r="C705" s="8">
        <f t="shared" si="104"/>
        <v>3</v>
      </c>
      <c r="D705" s="16" t="s">
        <v>42</v>
      </c>
      <c r="E705" s="12" t="s">
        <v>251</v>
      </c>
      <c r="F705" s="17" t="s">
        <v>34</v>
      </c>
      <c r="G705" s="17" t="s">
        <v>37</v>
      </c>
      <c r="H705" s="17" t="s">
        <v>29</v>
      </c>
      <c r="I705" s="17" t="s">
        <v>36</v>
      </c>
      <c r="J705" s="8">
        <v>2.8176999999999999</v>
      </c>
      <c r="K705" s="8">
        <v>3.0964999999999998</v>
      </c>
      <c r="L705" s="8">
        <f t="shared" si="105"/>
        <v>9.8945948823508516</v>
      </c>
      <c r="M705" s="9">
        <v>59.06</v>
      </c>
      <c r="N705" s="9">
        <v>38.97</v>
      </c>
      <c r="O705" s="10">
        <f t="shared" si="114"/>
        <v>-34.016254656281752</v>
      </c>
      <c r="P705" s="11">
        <v>3.2000000000000001E-2</v>
      </c>
      <c r="Q705" s="11">
        <v>1.4E-2</v>
      </c>
      <c r="R705" s="33">
        <f t="shared" si="115"/>
        <v>-56.25</v>
      </c>
      <c r="S705" s="37">
        <f t="shared" si="108"/>
        <v>1.4498947519812109</v>
      </c>
      <c r="T705" s="37">
        <f t="shared" si="109"/>
        <v>1.9953980174447608</v>
      </c>
      <c r="U705" s="42">
        <f t="shared" si="110"/>
        <v>2.7712934426290596</v>
      </c>
      <c r="V705" s="41" t="e">
        <f t="shared" si="111"/>
        <v>#NUM!</v>
      </c>
      <c r="W705" s="43">
        <f t="shared" si="112"/>
        <v>-0.49485002168009401</v>
      </c>
      <c r="X705" s="43" t="e">
        <f t="shared" si="113"/>
        <v>#NUM!</v>
      </c>
    </row>
    <row r="706" spans="1:24" ht="14.25" customHeight="1">
      <c r="A706" s="50"/>
      <c r="B706" s="8">
        <v>10</v>
      </c>
      <c r="C706" s="8">
        <f t="shared" si="104"/>
        <v>5</v>
      </c>
      <c r="D706" s="16" t="s">
        <v>42</v>
      </c>
      <c r="E706" s="12" t="s">
        <v>251</v>
      </c>
      <c r="F706" s="17" t="s">
        <v>34</v>
      </c>
      <c r="G706" s="17" t="s">
        <v>37</v>
      </c>
      <c r="H706" s="17" t="s">
        <v>29</v>
      </c>
      <c r="I706" s="17" t="s">
        <v>36</v>
      </c>
      <c r="J706" s="8">
        <v>2.8176999999999999</v>
      </c>
      <c r="K706" s="8">
        <v>3.3426999999999998</v>
      </c>
      <c r="L706" s="8">
        <f t="shared" si="105"/>
        <v>18.632217766263263</v>
      </c>
      <c r="M706" s="9">
        <v>59.06</v>
      </c>
      <c r="N706" s="9">
        <v>37.74</v>
      </c>
      <c r="O706" s="10">
        <f t="shared" si="114"/>
        <v>-36.098882492380632</v>
      </c>
      <c r="P706" s="11">
        <v>3.2000000000000001E-2</v>
      </c>
      <c r="Q706" s="11">
        <v>1.4E-2</v>
      </c>
      <c r="R706" s="33">
        <f t="shared" si="115"/>
        <v>-56.25</v>
      </c>
      <c r="S706" s="37">
        <f t="shared" si="108"/>
        <v>1.4498947519812109</v>
      </c>
      <c r="T706" s="37">
        <f t="shared" si="109"/>
        <v>2.2702645514247459</v>
      </c>
      <c r="U706" s="42">
        <f t="shared" si="110"/>
        <v>2.7712934426290596</v>
      </c>
      <c r="V706" s="41" t="e">
        <f t="shared" si="111"/>
        <v>#NUM!</v>
      </c>
      <c r="W706" s="43">
        <f t="shared" si="112"/>
        <v>-0.49485002168009401</v>
      </c>
      <c r="X706" s="43" t="e">
        <f t="shared" si="113"/>
        <v>#NUM!</v>
      </c>
    </row>
    <row r="707" spans="1:24" ht="14.25" customHeight="1">
      <c r="A707" s="48" t="s">
        <v>252</v>
      </c>
      <c r="B707" s="8">
        <v>2</v>
      </c>
      <c r="C707" s="8">
        <f t="shared" si="104"/>
        <v>1</v>
      </c>
      <c r="D707" s="16" t="s">
        <v>25</v>
      </c>
      <c r="E707" s="12" t="s">
        <v>58</v>
      </c>
      <c r="F707" s="17" t="s">
        <v>34</v>
      </c>
      <c r="G707" s="17" t="s">
        <v>37</v>
      </c>
      <c r="H707" s="17" t="s">
        <v>29</v>
      </c>
      <c r="I707" s="17" t="s">
        <v>36</v>
      </c>
      <c r="J707" s="8">
        <v>3</v>
      </c>
      <c r="K707" s="8">
        <v>3.012</v>
      </c>
      <c r="L707" s="8">
        <f t="shared" si="105"/>
        <v>0.40000000000000036</v>
      </c>
      <c r="M707" s="9">
        <v>82</v>
      </c>
      <c r="N707" s="9">
        <v>87</v>
      </c>
      <c r="O707" s="10">
        <f t="shared" si="114"/>
        <v>6.0975609756097562</v>
      </c>
      <c r="P707" s="11" t="s">
        <v>31</v>
      </c>
      <c r="Q707" s="11" t="s">
        <v>31</v>
      </c>
      <c r="R707" s="33" t="s">
        <v>31</v>
      </c>
      <c r="S707" s="37">
        <f t="shared" si="108"/>
        <v>1.4771212547196624</v>
      </c>
      <c r="T707" s="37">
        <f t="shared" si="109"/>
        <v>0.60205999132796273</v>
      </c>
      <c r="U707" s="42">
        <f t="shared" si="110"/>
        <v>2.9138138523837167</v>
      </c>
      <c r="V707" s="41">
        <f t="shared" si="111"/>
        <v>1.785156151952302</v>
      </c>
      <c r="W707" s="43" t="e">
        <f t="shared" si="112"/>
        <v>#VALUE!</v>
      </c>
      <c r="X707" s="43" t="e">
        <f t="shared" si="113"/>
        <v>#VALUE!</v>
      </c>
    </row>
    <row r="708" spans="1:24" ht="14.25" customHeight="1">
      <c r="A708" s="54"/>
      <c r="B708" s="8">
        <v>2</v>
      </c>
      <c r="C708" s="8">
        <f t="shared" si="104"/>
        <v>1</v>
      </c>
      <c r="D708" s="16" t="s">
        <v>25</v>
      </c>
      <c r="E708" s="12" t="s">
        <v>58</v>
      </c>
      <c r="F708" s="17" t="s">
        <v>34</v>
      </c>
      <c r="G708" s="17" t="s">
        <v>37</v>
      </c>
      <c r="H708" s="17" t="s">
        <v>29</v>
      </c>
      <c r="I708" s="17" t="s">
        <v>36</v>
      </c>
      <c r="J708" s="8">
        <v>3</v>
      </c>
      <c r="K708" s="8">
        <v>3.2010000000000001</v>
      </c>
      <c r="L708" s="8">
        <f t="shared" si="105"/>
        <v>6.700000000000002</v>
      </c>
      <c r="M708" s="9">
        <v>82</v>
      </c>
      <c r="N708" s="9">
        <v>86.6</v>
      </c>
      <c r="O708" s="10">
        <f t="shared" si="114"/>
        <v>5.609756097560969</v>
      </c>
      <c r="P708" s="11" t="s">
        <v>31</v>
      </c>
      <c r="Q708" s="11" t="s">
        <v>31</v>
      </c>
      <c r="R708" s="33" t="s">
        <v>31</v>
      </c>
      <c r="S708" s="37">
        <f t="shared" ref="S708:S771" si="116">LOG10(J708*10)</f>
        <v>1.4771212547196624</v>
      </c>
      <c r="T708" s="37">
        <f t="shared" ref="T708:T771" si="117">LOG10(L708*10)</f>
        <v>1.8260748027008264</v>
      </c>
      <c r="U708" s="42">
        <f t="shared" ref="U708:U771" si="118">LOG10(M708*10)</f>
        <v>2.9138138523837167</v>
      </c>
      <c r="V708" s="41">
        <f t="shared" ref="V708:V771" si="119">LOG10(O708*10)</f>
        <v>1.7489439792978569</v>
      </c>
      <c r="W708" s="43" t="e">
        <f t="shared" ref="W708:W771" si="120">LOG10(P708*10)</f>
        <v>#VALUE!</v>
      </c>
      <c r="X708" s="43" t="e">
        <f t="shared" ref="X708:X771" si="121">LOG10(R708*10)</f>
        <v>#VALUE!</v>
      </c>
    </row>
    <row r="709" spans="1:24" ht="14.25" customHeight="1">
      <c r="A709" s="54"/>
      <c r="B709" s="8">
        <v>2</v>
      </c>
      <c r="C709" s="8">
        <f t="shared" si="104"/>
        <v>1</v>
      </c>
      <c r="D709" s="16" t="s">
        <v>25</v>
      </c>
      <c r="E709" s="12" t="s">
        <v>58</v>
      </c>
      <c r="F709" s="17" t="s">
        <v>34</v>
      </c>
      <c r="G709" s="17" t="s">
        <v>37</v>
      </c>
      <c r="H709" s="17" t="s">
        <v>29</v>
      </c>
      <c r="I709" s="17" t="s">
        <v>36</v>
      </c>
      <c r="J709" s="8">
        <v>3</v>
      </c>
      <c r="K709" s="8">
        <v>3.2</v>
      </c>
      <c r="L709" s="8">
        <f t="shared" si="105"/>
        <v>6.6666666666666723</v>
      </c>
      <c r="M709" s="9">
        <v>82</v>
      </c>
      <c r="N709" s="9">
        <v>90.3</v>
      </c>
      <c r="O709" s="10">
        <f t="shared" si="114"/>
        <v>10.121951219512191</v>
      </c>
      <c r="P709" s="11" t="s">
        <v>31</v>
      </c>
      <c r="Q709" s="11" t="s">
        <v>31</v>
      </c>
      <c r="R709" s="33" t="s">
        <v>31</v>
      </c>
      <c r="S709" s="37">
        <f t="shared" si="116"/>
        <v>1.4771212547196624</v>
      </c>
      <c r="T709" s="37">
        <f t="shared" si="117"/>
        <v>1.8239087409443191</v>
      </c>
      <c r="U709" s="42">
        <f t="shared" si="118"/>
        <v>2.9138138523837167</v>
      </c>
      <c r="V709" s="41">
        <f t="shared" si="119"/>
        <v>2.005264239992357</v>
      </c>
      <c r="W709" s="43" t="e">
        <f t="shared" si="120"/>
        <v>#VALUE!</v>
      </c>
      <c r="X709" s="43" t="e">
        <f t="shared" si="121"/>
        <v>#VALUE!</v>
      </c>
    </row>
    <row r="710" spans="1:24" ht="14.25" customHeight="1">
      <c r="A710" s="54"/>
      <c r="B710" s="8">
        <v>2</v>
      </c>
      <c r="C710" s="8">
        <f t="shared" si="104"/>
        <v>1</v>
      </c>
      <c r="D710" s="16" t="s">
        <v>25</v>
      </c>
      <c r="E710" s="12" t="s">
        <v>58</v>
      </c>
      <c r="F710" s="17" t="s">
        <v>34</v>
      </c>
      <c r="G710" s="17" t="s">
        <v>37</v>
      </c>
      <c r="H710" s="17" t="s">
        <v>29</v>
      </c>
      <c r="I710" s="17" t="s">
        <v>36</v>
      </c>
      <c r="J710" s="8">
        <v>3</v>
      </c>
      <c r="K710" s="8">
        <v>3.2930000000000001</v>
      </c>
      <c r="L710" s="8">
        <f t="shared" si="105"/>
        <v>9.7666666666666728</v>
      </c>
      <c r="M710" s="9">
        <v>82</v>
      </c>
      <c r="N710" s="9">
        <v>86.2</v>
      </c>
      <c r="O710" s="10">
        <f t="shared" si="114"/>
        <v>5.1219512195121979</v>
      </c>
      <c r="P710" s="11" t="s">
        <v>31</v>
      </c>
      <c r="Q710" s="11" t="s">
        <v>31</v>
      </c>
      <c r="R710" s="33" t="s">
        <v>31</v>
      </c>
      <c r="S710" s="37">
        <f t="shared" si="116"/>
        <v>1.4771212547196624</v>
      </c>
      <c r="T710" s="37">
        <f t="shared" si="117"/>
        <v>1.9897463656344474</v>
      </c>
      <c r="U710" s="42">
        <f t="shared" si="118"/>
        <v>2.9138138523837167</v>
      </c>
      <c r="V710" s="41">
        <f t="shared" si="119"/>
        <v>1.7094354380141841</v>
      </c>
      <c r="W710" s="43" t="e">
        <f t="shared" si="120"/>
        <v>#VALUE!</v>
      </c>
      <c r="X710" s="43" t="e">
        <f t="shared" si="121"/>
        <v>#VALUE!</v>
      </c>
    </row>
    <row r="711" spans="1:24" ht="14.25" customHeight="1">
      <c r="A711" s="54"/>
      <c r="B711" s="8">
        <v>2</v>
      </c>
      <c r="C711" s="8">
        <f t="shared" si="104"/>
        <v>1</v>
      </c>
      <c r="D711" s="16" t="s">
        <v>25</v>
      </c>
      <c r="E711" s="12" t="s">
        <v>58</v>
      </c>
      <c r="F711" s="17" t="s">
        <v>34</v>
      </c>
      <c r="G711" s="17" t="s">
        <v>37</v>
      </c>
      <c r="H711" s="17" t="s">
        <v>29</v>
      </c>
      <c r="I711" s="17" t="s">
        <v>36</v>
      </c>
      <c r="J711" s="8">
        <v>3</v>
      </c>
      <c r="K711" s="8">
        <v>3.35</v>
      </c>
      <c r="L711" s="8">
        <f t="shared" si="105"/>
        <v>11.66666666666667</v>
      </c>
      <c r="M711" s="9">
        <v>82</v>
      </c>
      <c r="N711" s="9">
        <v>88.7</v>
      </c>
      <c r="O711" s="10">
        <f t="shared" si="114"/>
        <v>8.170731707317076</v>
      </c>
      <c r="P711" s="11" t="s">
        <v>31</v>
      </c>
      <c r="Q711" s="11" t="s">
        <v>31</v>
      </c>
      <c r="R711" s="33" t="s">
        <v>31</v>
      </c>
      <c r="S711" s="37">
        <f t="shared" si="116"/>
        <v>1.4771212547196624</v>
      </c>
      <c r="T711" s="37">
        <f t="shared" si="117"/>
        <v>2.0669467896306135</v>
      </c>
      <c r="U711" s="42">
        <f t="shared" si="118"/>
        <v>2.9138138523837167</v>
      </c>
      <c r="V711" s="41">
        <f t="shared" si="119"/>
        <v>1.91226095031711</v>
      </c>
      <c r="W711" s="43" t="e">
        <f t="shared" si="120"/>
        <v>#VALUE!</v>
      </c>
      <c r="X711" s="43" t="e">
        <f t="shared" si="121"/>
        <v>#VALUE!</v>
      </c>
    </row>
    <row r="712" spans="1:24" ht="14.25" customHeight="1">
      <c r="A712" s="54"/>
      <c r="B712" s="8">
        <v>2</v>
      </c>
      <c r="C712" s="8">
        <f t="shared" si="104"/>
        <v>1</v>
      </c>
      <c r="D712" s="16" t="s">
        <v>25</v>
      </c>
      <c r="E712" s="12" t="s">
        <v>58</v>
      </c>
      <c r="F712" s="17" t="s">
        <v>34</v>
      </c>
      <c r="G712" s="17" t="s">
        <v>37</v>
      </c>
      <c r="H712" s="17" t="s">
        <v>29</v>
      </c>
      <c r="I712" s="17" t="s">
        <v>36</v>
      </c>
      <c r="J712" s="8">
        <v>3</v>
      </c>
      <c r="K712" s="8">
        <v>3.21</v>
      </c>
      <c r="L712" s="8">
        <f t="shared" si="105"/>
        <v>6.9999999999999991</v>
      </c>
      <c r="M712" s="9">
        <v>82</v>
      </c>
      <c r="N712" s="9">
        <v>83.5</v>
      </c>
      <c r="O712" s="10">
        <f t="shared" si="114"/>
        <v>1.8292682926829267</v>
      </c>
      <c r="P712" s="11" t="s">
        <v>31</v>
      </c>
      <c r="Q712" s="11" t="s">
        <v>31</v>
      </c>
      <c r="R712" s="33" t="s">
        <v>31</v>
      </c>
      <c r="S712" s="37">
        <f t="shared" si="116"/>
        <v>1.4771212547196624</v>
      </c>
      <c r="T712" s="37">
        <f t="shared" si="117"/>
        <v>1.8450980400142567</v>
      </c>
      <c r="U712" s="42">
        <f t="shared" si="118"/>
        <v>2.9138138523837167</v>
      </c>
      <c r="V712" s="41">
        <f t="shared" si="119"/>
        <v>1.2622774066719644</v>
      </c>
      <c r="W712" s="43" t="e">
        <f t="shared" si="120"/>
        <v>#VALUE!</v>
      </c>
      <c r="X712" s="43" t="e">
        <f t="shared" si="121"/>
        <v>#VALUE!</v>
      </c>
    </row>
    <row r="713" spans="1:24" ht="14.25" customHeight="1">
      <c r="A713" s="54"/>
      <c r="B713" s="8">
        <v>4</v>
      </c>
      <c r="C713" s="8">
        <f t="shared" si="104"/>
        <v>2</v>
      </c>
      <c r="D713" s="16" t="s">
        <v>25</v>
      </c>
      <c r="E713" s="12" t="s">
        <v>58</v>
      </c>
      <c r="F713" s="17" t="s">
        <v>34</v>
      </c>
      <c r="G713" s="17" t="s">
        <v>37</v>
      </c>
      <c r="H713" s="17" t="s">
        <v>29</v>
      </c>
      <c r="I713" s="17" t="s">
        <v>36</v>
      </c>
      <c r="J713" s="8">
        <v>3</v>
      </c>
      <c r="K713" s="8">
        <v>3.351</v>
      </c>
      <c r="L713" s="8">
        <f t="shared" si="105"/>
        <v>11.7</v>
      </c>
      <c r="M713" s="9">
        <v>82</v>
      </c>
      <c r="N713" s="9">
        <v>85.2</v>
      </c>
      <c r="O713" s="10">
        <f t="shared" si="114"/>
        <v>3.9024390243902474</v>
      </c>
      <c r="P713" s="11" t="s">
        <v>31</v>
      </c>
      <c r="Q713" s="11" t="s">
        <v>31</v>
      </c>
      <c r="R713" s="33" t="s">
        <v>31</v>
      </c>
      <c r="S713" s="37">
        <f t="shared" si="116"/>
        <v>1.4771212547196624</v>
      </c>
      <c r="T713" s="37">
        <f t="shared" si="117"/>
        <v>2.0681858617461617</v>
      </c>
      <c r="U713" s="42">
        <f t="shared" si="118"/>
        <v>2.9138138523837167</v>
      </c>
      <c r="V713" s="41">
        <f t="shared" si="119"/>
        <v>1.5913361259361898</v>
      </c>
      <c r="W713" s="43" t="e">
        <f t="shared" si="120"/>
        <v>#VALUE!</v>
      </c>
      <c r="X713" s="43" t="e">
        <f t="shared" si="121"/>
        <v>#VALUE!</v>
      </c>
    </row>
    <row r="714" spans="1:24" ht="14.25" customHeight="1">
      <c r="A714" s="54"/>
      <c r="B714" s="8">
        <v>4</v>
      </c>
      <c r="C714" s="8">
        <f t="shared" si="104"/>
        <v>2</v>
      </c>
      <c r="D714" s="16" t="s">
        <v>25</v>
      </c>
      <c r="E714" s="12" t="s">
        <v>58</v>
      </c>
      <c r="F714" s="17" t="s">
        <v>34</v>
      </c>
      <c r="G714" s="17" t="s">
        <v>37</v>
      </c>
      <c r="H714" s="17" t="s">
        <v>29</v>
      </c>
      <c r="I714" s="17" t="s">
        <v>36</v>
      </c>
      <c r="J714" s="8">
        <v>3</v>
      </c>
      <c r="K714" s="8">
        <v>3.12</v>
      </c>
      <c r="L714" s="8">
        <f t="shared" si="105"/>
        <v>4.0000000000000036</v>
      </c>
      <c r="M714" s="9">
        <v>82</v>
      </c>
      <c r="N714" s="9">
        <v>82.6</v>
      </c>
      <c r="O714" s="10">
        <f t="shared" si="114"/>
        <v>0.73170731707316383</v>
      </c>
      <c r="P714" s="11" t="s">
        <v>31</v>
      </c>
      <c r="Q714" s="11" t="s">
        <v>31</v>
      </c>
      <c r="R714" s="33" t="s">
        <v>31</v>
      </c>
      <c r="S714" s="37">
        <f t="shared" si="116"/>
        <v>1.4771212547196624</v>
      </c>
      <c r="T714" s="37">
        <f t="shared" si="117"/>
        <v>1.6020599913279627</v>
      </c>
      <c r="U714" s="42">
        <f t="shared" si="118"/>
        <v>2.9138138523837167</v>
      </c>
      <c r="V714" s="41">
        <f t="shared" si="119"/>
        <v>0.86433739799992282</v>
      </c>
      <c r="W714" s="43" t="e">
        <f t="shared" si="120"/>
        <v>#VALUE!</v>
      </c>
      <c r="X714" s="43" t="e">
        <f t="shared" si="121"/>
        <v>#VALUE!</v>
      </c>
    </row>
    <row r="715" spans="1:24" ht="14.25" customHeight="1">
      <c r="A715" s="54"/>
      <c r="B715" s="8">
        <v>4</v>
      </c>
      <c r="C715" s="8">
        <f t="shared" si="104"/>
        <v>2</v>
      </c>
      <c r="D715" s="16" t="s">
        <v>25</v>
      </c>
      <c r="E715" s="12" t="s">
        <v>58</v>
      </c>
      <c r="F715" s="17" t="s">
        <v>34</v>
      </c>
      <c r="G715" s="17" t="s">
        <v>37</v>
      </c>
      <c r="H715" s="17" t="s">
        <v>29</v>
      </c>
      <c r="I715" s="17" t="s">
        <v>36</v>
      </c>
      <c r="J715" s="8">
        <v>3</v>
      </c>
      <c r="K715" s="8">
        <v>3.37</v>
      </c>
      <c r="L715" s="8">
        <f t="shared" si="105"/>
        <v>12.333333333333336</v>
      </c>
      <c r="M715" s="9">
        <v>82</v>
      </c>
      <c r="N715" s="9">
        <v>89.4</v>
      </c>
      <c r="O715" s="10">
        <f t="shared" si="114"/>
        <v>9.0243902439024453</v>
      </c>
      <c r="P715" s="11" t="s">
        <v>31</v>
      </c>
      <c r="Q715" s="11" t="s">
        <v>31</v>
      </c>
      <c r="R715" s="33" t="s">
        <v>31</v>
      </c>
      <c r="S715" s="37">
        <f t="shared" si="116"/>
        <v>1.4771212547196624</v>
      </c>
      <c r="T715" s="37">
        <f t="shared" si="117"/>
        <v>2.0910804693473328</v>
      </c>
      <c r="U715" s="42">
        <f t="shared" si="118"/>
        <v>2.9138138523837167</v>
      </c>
      <c r="V715" s="41">
        <f t="shared" si="119"/>
        <v>1.9554178673472598</v>
      </c>
      <c r="W715" s="43" t="e">
        <f t="shared" si="120"/>
        <v>#VALUE!</v>
      </c>
      <c r="X715" s="43" t="e">
        <f t="shared" si="121"/>
        <v>#VALUE!</v>
      </c>
    </row>
    <row r="716" spans="1:24" ht="14.25" customHeight="1">
      <c r="A716" s="54"/>
      <c r="B716" s="8">
        <v>4</v>
      </c>
      <c r="C716" s="8">
        <f t="shared" si="104"/>
        <v>2</v>
      </c>
      <c r="D716" s="16" t="s">
        <v>25</v>
      </c>
      <c r="E716" s="12" t="s">
        <v>58</v>
      </c>
      <c r="F716" s="17" t="s">
        <v>34</v>
      </c>
      <c r="G716" s="17" t="s">
        <v>37</v>
      </c>
      <c r="H716" s="17" t="s">
        <v>29</v>
      </c>
      <c r="I716" s="17" t="s">
        <v>36</v>
      </c>
      <c r="J716" s="8">
        <v>3</v>
      </c>
      <c r="K716" s="8">
        <v>3.4769999999999999</v>
      </c>
      <c r="L716" s="8">
        <f t="shared" si="105"/>
        <v>15.899999999999995</v>
      </c>
      <c r="M716" s="9">
        <v>82</v>
      </c>
      <c r="N716" s="9">
        <v>91.2</v>
      </c>
      <c r="O716" s="10">
        <f t="shared" si="114"/>
        <v>11.219512195121954</v>
      </c>
      <c r="P716" s="11" t="s">
        <v>31</v>
      </c>
      <c r="Q716" s="11" t="s">
        <v>31</v>
      </c>
      <c r="R716" s="33" t="s">
        <v>31</v>
      </c>
      <c r="S716" s="37">
        <f t="shared" si="116"/>
        <v>1.4771212547196624</v>
      </c>
      <c r="T716" s="37">
        <f t="shared" si="117"/>
        <v>2.2013971243204513</v>
      </c>
      <c r="U716" s="42">
        <f t="shared" si="118"/>
        <v>2.9138138523837167</v>
      </c>
      <c r="V716" s="41">
        <f t="shared" si="119"/>
        <v>2.0499739749618389</v>
      </c>
      <c r="W716" s="43" t="e">
        <f t="shared" si="120"/>
        <v>#VALUE!</v>
      </c>
      <c r="X716" s="43" t="e">
        <f t="shared" si="121"/>
        <v>#VALUE!</v>
      </c>
    </row>
    <row r="717" spans="1:24" ht="14.25" customHeight="1">
      <c r="A717" s="54"/>
      <c r="B717" s="8">
        <v>4</v>
      </c>
      <c r="C717" s="8">
        <f t="shared" si="104"/>
        <v>2</v>
      </c>
      <c r="D717" s="16" t="s">
        <v>25</v>
      </c>
      <c r="E717" s="12" t="s">
        <v>58</v>
      </c>
      <c r="F717" s="17" t="s">
        <v>34</v>
      </c>
      <c r="G717" s="17" t="s">
        <v>37</v>
      </c>
      <c r="H717" s="17" t="s">
        <v>29</v>
      </c>
      <c r="I717" s="17" t="s">
        <v>36</v>
      </c>
      <c r="J717" s="8">
        <v>3</v>
      </c>
      <c r="K717" s="8">
        <v>3.3610000000000002</v>
      </c>
      <c r="L717" s="8">
        <f t="shared" si="105"/>
        <v>12.03333333333334</v>
      </c>
      <c r="M717" s="9">
        <v>82</v>
      </c>
      <c r="N717" s="9">
        <v>83.7</v>
      </c>
      <c r="O717" s="10">
        <f t="shared" si="114"/>
        <v>2.0731707317073207</v>
      </c>
      <c r="P717" s="11" t="s">
        <v>31</v>
      </c>
      <c r="Q717" s="11" t="s">
        <v>31</v>
      </c>
      <c r="R717" s="33" t="s">
        <v>31</v>
      </c>
      <c r="S717" s="37">
        <f t="shared" si="116"/>
        <v>1.4771212547196624</v>
      </c>
      <c r="T717" s="37">
        <f t="shared" si="117"/>
        <v>2.0803859471859956</v>
      </c>
      <c r="U717" s="42">
        <f t="shared" si="118"/>
        <v>2.9138138523837167</v>
      </c>
      <c r="V717" s="41">
        <f t="shared" si="119"/>
        <v>1.3166350689945581</v>
      </c>
      <c r="W717" s="43" t="e">
        <f t="shared" si="120"/>
        <v>#VALUE!</v>
      </c>
      <c r="X717" s="43" t="e">
        <f t="shared" si="121"/>
        <v>#VALUE!</v>
      </c>
    </row>
    <row r="718" spans="1:24" ht="14.25" customHeight="1">
      <c r="A718" s="54"/>
      <c r="B718" s="8">
        <v>4</v>
      </c>
      <c r="C718" s="8">
        <f t="shared" si="104"/>
        <v>2</v>
      </c>
      <c r="D718" s="16" t="s">
        <v>25</v>
      </c>
      <c r="E718" s="12" t="s">
        <v>58</v>
      </c>
      <c r="F718" s="17" t="s">
        <v>34</v>
      </c>
      <c r="G718" s="17" t="s">
        <v>37</v>
      </c>
      <c r="H718" s="17" t="s">
        <v>29</v>
      </c>
      <c r="I718" s="17" t="s">
        <v>36</v>
      </c>
      <c r="J718" s="8">
        <v>3</v>
      </c>
      <c r="K718" s="8">
        <v>3.625</v>
      </c>
      <c r="L718" s="8">
        <f t="shared" si="105"/>
        <v>20.833333333333336</v>
      </c>
      <c r="M718" s="9">
        <v>82</v>
      </c>
      <c r="N718" s="9">
        <v>89.2</v>
      </c>
      <c r="O718" s="10">
        <f t="shared" si="114"/>
        <v>8.780487804878053</v>
      </c>
      <c r="P718" s="11" t="s">
        <v>31</v>
      </c>
      <c r="Q718" s="11" t="s">
        <v>31</v>
      </c>
      <c r="R718" s="33" t="s">
        <v>31</v>
      </c>
      <c r="S718" s="37">
        <f t="shared" si="116"/>
        <v>1.4771212547196624</v>
      </c>
      <c r="T718" s="37">
        <f t="shared" si="117"/>
        <v>2.3187587626244128</v>
      </c>
      <c r="U718" s="42">
        <f t="shared" si="118"/>
        <v>2.9138138523837167</v>
      </c>
      <c r="V718" s="41">
        <f t="shared" si="119"/>
        <v>1.943518644047552</v>
      </c>
      <c r="W718" s="43" t="e">
        <f t="shared" si="120"/>
        <v>#VALUE!</v>
      </c>
      <c r="X718" s="43" t="e">
        <f t="shared" si="121"/>
        <v>#VALUE!</v>
      </c>
    </row>
    <row r="719" spans="1:24" ht="14.25" customHeight="1">
      <c r="A719" s="54"/>
      <c r="B719" s="8">
        <v>4</v>
      </c>
      <c r="C719" s="8">
        <f t="shared" si="104"/>
        <v>2</v>
      </c>
      <c r="D719" s="16" t="s">
        <v>25</v>
      </c>
      <c r="E719" s="12" t="s">
        <v>58</v>
      </c>
      <c r="F719" s="17" t="s">
        <v>34</v>
      </c>
      <c r="G719" s="17" t="s">
        <v>37</v>
      </c>
      <c r="H719" s="17" t="s">
        <v>29</v>
      </c>
      <c r="I719" s="17" t="s">
        <v>36</v>
      </c>
      <c r="J719" s="8">
        <v>3</v>
      </c>
      <c r="K719" s="8">
        <v>3.488</v>
      </c>
      <c r="L719" s="8">
        <f t="shared" si="105"/>
        <v>16.266666666666666</v>
      </c>
      <c r="M719" s="9">
        <v>82</v>
      </c>
      <c r="N719" s="9">
        <v>88.7</v>
      </c>
      <c r="O719" s="10">
        <f t="shared" si="114"/>
        <v>8.170731707317076</v>
      </c>
      <c r="P719" s="11" t="s">
        <v>31</v>
      </c>
      <c r="Q719" s="11" t="s">
        <v>31</v>
      </c>
      <c r="R719" s="33" t="s">
        <v>31</v>
      </c>
      <c r="S719" s="37">
        <f t="shared" si="116"/>
        <v>1.4771212547196624</v>
      </c>
      <c r="T719" s="37">
        <f t="shared" si="117"/>
        <v>2.2112985672830483</v>
      </c>
      <c r="U719" s="42">
        <f t="shared" si="118"/>
        <v>2.9138138523837167</v>
      </c>
      <c r="V719" s="41">
        <f t="shared" si="119"/>
        <v>1.91226095031711</v>
      </c>
      <c r="W719" s="43" t="e">
        <f t="shared" si="120"/>
        <v>#VALUE!</v>
      </c>
      <c r="X719" s="43" t="e">
        <f t="shared" si="121"/>
        <v>#VALUE!</v>
      </c>
    </row>
    <row r="720" spans="1:24" ht="14.25" customHeight="1">
      <c r="A720" s="54"/>
      <c r="B720" s="8">
        <v>4</v>
      </c>
      <c r="C720" s="8">
        <f t="shared" si="104"/>
        <v>2</v>
      </c>
      <c r="D720" s="16" t="s">
        <v>25</v>
      </c>
      <c r="E720" s="12" t="s">
        <v>58</v>
      </c>
      <c r="F720" s="17" t="s">
        <v>34</v>
      </c>
      <c r="G720" s="17" t="s">
        <v>37</v>
      </c>
      <c r="H720" s="17" t="s">
        <v>29</v>
      </c>
      <c r="I720" s="17" t="s">
        <v>36</v>
      </c>
      <c r="J720" s="8">
        <v>3</v>
      </c>
      <c r="K720" s="8">
        <v>3.85</v>
      </c>
      <c r="L720" s="8">
        <f t="shared" si="105"/>
        <v>28.333333333333339</v>
      </c>
      <c r="M720" s="9">
        <v>82</v>
      </c>
      <c r="N720" s="9">
        <v>90.3</v>
      </c>
      <c r="O720" s="10">
        <f t="shared" si="114"/>
        <v>10.121951219512191</v>
      </c>
      <c r="P720" s="11" t="s">
        <v>31</v>
      </c>
      <c r="Q720" s="11" t="s">
        <v>31</v>
      </c>
      <c r="R720" s="33" t="s">
        <v>31</v>
      </c>
      <c r="S720" s="37">
        <f t="shared" si="116"/>
        <v>1.4771212547196624</v>
      </c>
      <c r="T720" s="37">
        <f t="shared" si="117"/>
        <v>2.4522976709946303</v>
      </c>
      <c r="U720" s="42">
        <f t="shared" si="118"/>
        <v>2.9138138523837167</v>
      </c>
      <c r="V720" s="41">
        <f t="shared" si="119"/>
        <v>2.005264239992357</v>
      </c>
      <c r="W720" s="43" t="e">
        <f t="shared" si="120"/>
        <v>#VALUE!</v>
      </c>
      <c r="X720" s="43" t="e">
        <f t="shared" si="121"/>
        <v>#VALUE!</v>
      </c>
    </row>
    <row r="721" spans="1:24" ht="14.25" customHeight="1">
      <c r="A721" s="54"/>
      <c r="B721" s="8">
        <v>4</v>
      </c>
      <c r="C721" s="8">
        <f t="shared" si="104"/>
        <v>2</v>
      </c>
      <c r="D721" s="16" t="s">
        <v>25</v>
      </c>
      <c r="E721" s="12" t="s">
        <v>58</v>
      </c>
      <c r="F721" s="17" t="s">
        <v>34</v>
      </c>
      <c r="G721" s="17" t="s">
        <v>37</v>
      </c>
      <c r="H721" s="17" t="s">
        <v>29</v>
      </c>
      <c r="I721" s="17" t="s">
        <v>36</v>
      </c>
      <c r="J721" s="8">
        <v>3</v>
      </c>
      <c r="K721" s="8">
        <v>3.6589999999999998</v>
      </c>
      <c r="L721" s="8">
        <f t="shared" si="105"/>
        <v>21.966666666666658</v>
      </c>
      <c r="M721" s="9">
        <v>82</v>
      </c>
      <c r="N721" s="9">
        <v>92.5</v>
      </c>
      <c r="O721" s="10">
        <f t="shared" si="114"/>
        <v>12.804878048780488</v>
      </c>
      <c r="P721" s="11" t="s">
        <v>31</v>
      </c>
      <c r="Q721" s="11" t="s">
        <v>31</v>
      </c>
      <c r="R721" s="33" t="s">
        <v>31</v>
      </c>
      <c r="S721" s="37">
        <f t="shared" si="116"/>
        <v>1.4771212547196624</v>
      </c>
      <c r="T721" s="37">
        <f t="shared" si="117"/>
        <v>2.3417641598743471</v>
      </c>
      <c r="U721" s="42">
        <f t="shared" si="118"/>
        <v>2.9138138523837167</v>
      </c>
      <c r="V721" s="41">
        <f t="shared" si="119"/>
        <v>2.1073754466862216</v>
      </c>
      <c r="W721" s="43" t="e">
        <f t="shared" si="120"/>
        <v>#VALUE!</v>
      </c>
      <c r="X721" s="43" t="e">
        <f t="shared" si="121"/>
        <v>#VALUE!</v>
      </c>
    </row>
    <row r="722" spans="1:24" ht="14.25" customHeight="1">
      <c r="A722" s="54"/>
      <c r="B722" s="8">
        <v>4</v>
      </c>
      <c r="C722" s="8">
        <f t="shared" si="104"/>
        <v>2</v>
      </c>
      <c r="D722" s="16" t="s">
        <v>25</v>
      </c>
      <c r="E722" s="12" t="s">
        <v>58</v>
      </c>
      <c r="F722" s="17" t="s">
        <v>34</v>
      </c>
      <c r="G722" s="17" t="s">
        <v>37</v>
      </c>
      <c r="H722" s="17" t="s">
        <v>29</v>
      </c>
      <c r="I722" s="17" t="s">
        <v>36</v>
      </c>
      <c r="J722" s="8">
        <v>3</v>
      </c>
      <c r="K722" s="8">
        <v>3.4740000000000002</v>
      </c>
      <c r="L722" s="8">
        <f t="shared" si="105"/>
        <v>15.800000000000006</v>
      </c>
      <c r="M722" s="9">
        <v>82</v>
      </c>
      <c r="N722" s="9">
        <v>88.7</v>
      </c>
      <c r="O722" s="10">
        <f t="shared" si="114"/>
        <v>8.170731707317076</v>
      </c>
      <c r="P722" s="11" t="s">
        <v>31</v>
      </c>
      <c r="Q722" s="11" t="s">
        <v>31</v>
      </c>
      <c r="R722" s="33" t="s">
        <v>31</v>
      </c>
      <c r="S722" s="37">
        <f t="shared" si="116"/>
        <v>1.4771212547196624</v>
      </c>
      <c r="T722" s="37">
        <f t="shared" si="117"/>
        <v>2.1986570869544226</v>
      </c>
      <c r="U722" s="42">
        <f t="shared" si="118"/>
        <v>2.9138138523837167</v>
      </c>
      <c r="V722" s="41">
        <f t="shared" si="119"/>
        <v>1.91226095031711</v>
      </c>
      <c r="W722" s="43" t="e">
        <f t="shared" si="120"/>
        <v>#VALUE!</v>
      </c>
      <c r="X722" s="43" t="e">
        <f t="shared" si="121"/>
        <v>#VALUE!</v>
      </c>
    </row>
    <row r="723" spans="1:24" ht="14.25" customHeight="1">
      <c r="A723" s="54"/>
      <c r="B723" s="8">
        <v>4</v>
      </c>
      <c r="C723" s="8">
        <f t="shared" si="104"/>
        <v>2</v>
      </c>
      <c r="D723" s="16" t="s">
        <v>25</v>
      </c>
      <c r="E723" s="12" t="s">
        <v>58</v>
      </c>
      <c r="F723" s="17" t="s">
        <v>34</v>
      </c>
      <c r="G723" s="17" t="s">
        <v>37</v>
      </c>
      <c r="H723" s="17" t="s">
        <v>29</v>
      </c>
      <c r="I723" s="17" t="s">
        <v>36</v>
      </c>
      <c r="J723" s="8">
        <v>3</v>
      </c>
      <c r="K723" s="8">
        <v>3.64</v>
      </c>
      <c r="L723" s="8">
        <f t="shared" si="105"/>
        <v>21.333333333333336</v>
      </c>
      <c r="M723" s="9">
        <v>82</v>
      </c>
      <c r="N723" s="9">
        <v>89.6</v>
      </c>
      <c r="O723" s="10">
        <f t="shared" si="114"/>
        <v>9.2682926829268215</v>
      </c>
      <c r="P723" s="11" t="s">
        <v>31</v>
      </c>
      <c r="Q723" s="11" t="s">
        <v>31</v>
      </c>
      <c r="R723" s="33" t="s">
        <v>31</v>
      </c>
      <c r="S723" s="37">
        <f t="shared" si="116"/>
        <v>1.4771212547196624</v>
      </c>
      <c r="T723" s="37">
        <f t="shared" si="117"/>
        <v>2.3290587192642249</v>
      </c>
      <c r="U723" s="42">
        <f t="shared" si="118"/>
        <v>2.9138138523837167</v>
      </c>
      <c r="V723" s="41">
        <f t="shared" si="119"/>
        <v>1.9669997398970742</v>
      </c>
      <c r="W723" s="43" t="e">
        <f t="shared" si="120"/>
        <v>#VALUE!</v>
      </c>
      <c r="X723" s="43" t="e">
        <f t="shared" si="121"/>
        <v>#VALUE!</v>
      </c>
    </row>
    <row r="724" spans="1:24" ht="14.25" customHeight="1">
      <c r="A724" s="54"/>
      <c r="B724" s="8">
        <v>4</v>
      </c>
      <c r="C724" s="8">
        <f t="shared" si="104"/>
        <v>2</v>
      </c>
      <c r="D724" s="16" t="s">
        <v>25</v>
      </c>
      <c r="E724" s="12" t="s">
        <v>58</v>
      </c>
      <c r="F724" s="17" t="s">
        <v>34</v>
      </c>
      <c r="G724" s="17" t="s">
        <v>37</v>
      </c>
      <c r="H724" s="17" t="s">
        <v>29</v>
      </c>
      <c r="I724" s="17" t="s">
        <v>36</v>
      </c>
      <c r="J724" s="8">
        <v>3</v>
      </c>
      <c r="K724" s="8">
        <v>3.492</v>
      </c>
      <c r="L724" s="8">
        <f t="shared" si="105"/>
        <v>16.400000000000002</v>
      </c>
      <c r="M724" s="9">
        <v>82</v>
      </c>
      <c r="N724" s="9">
        <v>87.4</v>
      </c>
      <c r="O724" s="10">
        <f t="shared" si="114"/>
        <v>6.5853658536585442</v>
      </c>
      <c r="P724" s="11" t="s">
        <v>31</v>
      </c>
      <c r="Q724" s="11" t="s">
        <v>31</v>
      </c>
      <c r="R724" s="33" t="s">
        <v>31</v>
      </c>
      <c r="S724" s="37">
        <f t="shared" si="116"/>
        <v>1.4771212547196624</v>
      </c>
      <c r="T724" s="37">
        <f t="shared" si="117"/>
        <v>2.214843848047698</v>
      </c>
      <c r="U724" s="42">
        <f t="shared" si="118"/>
        <v>2.9138138523837167</v>
      </c>
      <c r="V724" s="41">
        <f t="shared" si="119"/>
        <v>1.8185799074392524</v>
      </c>
      <c r="W724" s="43" t="e">
        <f t="shared" si="120"/>
        <v>#VALUE!</v>
      </c>
      <c r="X724" s="43" t="e">
        <f t="shared" si="121"/>
        <v>#VALUE!</v>
      </c>
    </row>
    <row r="725" spans="1:24" ht="14.25" customHeight="1">
      <c r="A725" s="54"/>
      <c r="B725" s="8">
        <v>4</v>
      </c>
      <c r="C725" s="8">
        <f t="shared" si="104"/>
        <v>2</v>
      </c>
      <c r="D725" s="16" t="s">
        <v>25</v>
      </c>
      <c r="E725" s="12" t="s">
        <v>58</v>
      </c>
      <c r="F725" s="17" t="s">
        <v>34</v>
      </c>
      <c r="G725" s="17" t="s">
        <v>37</v>
      </c>
      <c r="H725" s="17" t="s">
        <v>29</v>
      </c>
      <c r="I725" s="17" t="s">
        <v>36</v>
      </c>
      <c r="J725" s="8">
        <v>3</v>
      </c>
      <c r="K725" s="8">
        <v>3.4</v>
      </c>
      <c r="L725" s="8">
        <f t="shared" si="105"/>
        <v>13.33333333333333</v>
      </c>
      <c r="M725" s="9">
        <v>82</v>
      </c>
      <c r="N725" s="9">
        <v>92.6</v>
      </c>
      <c r="O725" s="10">
        <f t="shared" si="114"/>
        <v>12.926829268292675</v>
      </c>
      <c r="P725" s="11" t="s">
        <v>31</v>
      </c>
      <c r="Q725" s="11" t="s">
        <v>31</v>
      </c>
      <c r="R725" s="33" t="s">
        <v>31</v>
      </c>
      <c r="S725" s="37">
        <f t="shared" si="116"/>
        <v>1.4771212547196624</v>
      </c>
      <c r="T725" s="37">
        <f t="shared" si="117"/>
        <v>2.1249387366082999</v>
      </c>
      <c r="U725" s="42">
        <f t="shared" si="118"/>
        <v>2.9138138523837167</v>
      </c>
      <c r="V725" s="41">
        <f t="shared" si="119"/>
        <v>2.1114920128810533</v>
      </c>
      <c r="W725" s="43" t="e">
        <f t="shared" si="120"/>
        <v>#VALUE!</v>
      </c>
      <c r="X725" s="43" t="e">
        <f t="shared" si="121"/>
        <v>#VALUE!</v>
      </c>
    </row>
    <row r="726" spans="1:24" ht="14.25" customHeight="1">
      <c r="A726" s="54"/>
      <c r="B726" s="8">
        <v>4</v>
      </c>
      <c r="C726" s="8">
        <f t="shared" si="104"/>
        <v>2</v>
      </c>
      <c r="D726" s="16" t="s">
        <v>25</v>
      </c>
      <c r="E726" s="12" t="s">
        <v>58</v>
      </c>
      <c r="F726" s="17" t="s">
        <v>34</v>
      </c>
      <c r="G726" s="17" t="s">
        <v>37</v>
      </c>
      <c r="H726" s="17" t="s">
        <v>29</v>
      </c>
      <c r="I726" s="17" t="s">
        <v>36</v>
      </c>
      <c r="J726" s="8">
        <v>3</v>
      </c>
      <c r="K726" s="8">
        <v>3.464</v>
      </c>
      <c r="L726" s="8">
        <f t="shared" si="105"/>
        <v>15.466666666666665</v>
      </c>
      <c r="M726" s="9">
        <v>82</v>
      </c>
      <c r="N726" s="9">
        <v>87.1</v>
      </c>
      <c r="O726" s="10">
        <f t="shared" si="114"/>
        <v>6.2195121951219443</v>
      </c>
      <c r="P726" s="11" t="s">
        <v>31</v>
      </c>
      <c r="Q726" s="11" t="s">
        <v>31</v>
      </c>
      <c r="R726" s="33" t="s">
        <v>31</v>
      </c>
      <c r="S726" s="37">
        <f t="shared" si="116"/>
        <v>1.4771212547196624</v>
      </c>
      <c r="T726" s="37">
        <f t="shared" si="117"/>
        <v>2.1893967258352185</v>
      </c>
      <c r="U726" s="42">
        <f t="shared" si="118"/>
        <v>2.9138138523837167</v>
      </c>
      <c r="V726" s="41">
        <f t="shared" si="119"/>
        <v>1.7937563237142191</v>
      </c>
      <c r="W726" s="43" t="e">
        <f t="shared" si="120"/>
        <v>#VALUE!</v>
      </c>
      <c r="X726" s="43" t="e">
        <f t="shared" si="121"/>
        <v>#VALUE!</v>
      </c>
    </row>
    <row r="727" spans="1:24" ht="14.25" customHeight="1">
      <c r="A727" s="54"/>
      <c r="B727" s="8">
        <v>4</v>
      </c>
      <c r="C727" s="8">
        <f t="shared" si="104"/>
        <v>2</v>
      </c>
      <c r="D727" s="16" t="s">
        <v>25</v>
      </c>
      <c r="E727" s="12" t="s">
        <v>58</v>
      </c>
      <c r="F727" s="17" t="s">
        <v>34</v>
      </c>
      <c r="G727" s="17" t="s">
        <v>37</v>
      </c>
      <c r="H727" s="17" t="s">
        <v>29</v>
      </c>
      <c r="I727" s="17" t="s">
        <v>36</v>
      </c>
      <c r="J727" s="8">
        <v>3</v>
      </c>
      <c r="K727" s="8">
        <v>3.6779999999999999</v>
      </c>
      <c r="L727" s="8">
        <f t="shared" si="105"/>
        <v>22.599999999999998</v>
      </c>
      <c r="M727" s="9">
        <v>82</v>
      </c>
      <c r="N727" s="9">
        <v>89.2</v>
      </c>
      <c r="O727" s="10">
        <f t="shared" si="114"/>
        <v>8.780487804878053</v>
      </c>
      <c r="P727" s="11" t="s">
        <v>31</v>
      </c>
      <c r="Q727" s="11" t="s">
        <v>31</v>
      </c>
      <c r="R727" s="33" t="s">
        <v>31</v>
      </c>
      <c r="S727" s="37">
        <f t="shared" si="116"/>
        <v>1.4771212547196624</v>
      </c>
      <c r="T727" s="37">
        <f t="shared" si="117"/>
        <v>2.3541084391474008</v>
      </c>
      <c r="U727" s="42">
        <f t="shared" si="118"/>
        <v>2.9138138523837167</v>
      </c>
      <c r="V727" s="41">
        <f t="shared" si="119"/>
        <v>1.943518644047552</v>
      </c>
      <c r="W727" s="43" t="e">
        <f t="shared" si="120"/>
        <v>#VALUE!</v>
      </c>
      <c r="X727" s="43" t="e">
        <f t="shared" si="121"/>
        <v>#VALUE!</v>
      </c>
    </row>
    <row r="728" spans="1:24" ht="14.25" customHeight="1">
      <c r="A728" s="54"/>
      <c r="B728" s="8">
        <v>6</v>
      </c>
      <c r="C728" s="8">
        <f t="shared" si="104"/>
        <v>3</v>
      </c>
      <c r="D728" s="16" t="s">
        <v>25</v>
      </c>
      <c r="E728" s="12" t="s">
        <v>58</v>
      </c>
      <c r="F728" s="17" t="s">
        <v>34</v>
      </c>
      <c r="G728" s="17" t="s">
        <v>37</v>
      </c>
      <c r="H728" s="17" t="s">
        <v>29</v>
      </c>
      <c r="I728" s="17" t="s">
        <v>36</v>
      </c>
      <c r="J728" s="8">
        <v>3</v>
      </c>
      <c r="K728" s="8">
        <v>3.4980000000000002</v>
      </c>
      <c r="L728" s="8">
        <f t="shared" si="105"/>
        <v>16.600000000000005</v>
      </c>
      <c r="M728" s="9">
        <v>82</v>
      </c>
      <c r="N728" s="9">
        <v>86.7</v>
      </c>
      <c r="O728" s="10">
        <f t="shared" si="114"/>
        <v>5.731707317073174</v>
      </c>
      <c r="P728" s="11" t="s">
        <v>31</v>
      </c>
      <c r="Q728" s="11" t="s">
        <v>31</v>
      </c>
      <c r="R728" s="33" t="s">
        <v>31</v>
      </c>
      <c r="S728" s="37">
        <f t="shared" si="116"/>
        <v>1.4771212547196624</v>
      </c>
      <c r="T728" s="37">
        <f t="shared" si="117"/>
        <v>2.2201080880400554</v>
      </c>
      <c r="U728" s="42">
        <f t="shared" si="118"/>
        <v>2.9138138523837167</v>
      </c>
      <c r="V728" s="41">
        <f t="shared" si="119"/>
        <v>1.758284005552001</v>
      </c>
      <c r="W728" s="43" t="e">
        <f t="shared" si="120"/>
        <v>#VALUE!</v>
      </c>
      <c r="X728" s="43" t="e">
        <f t="shared" si="121"/>
        <v>#VALUE!</v>
      </c>
    </row>
    <row r="729" spans="1:24" ht="14.25" customHeight="1">
      <c r="A729" s="54"/>
      <c r="B729" s="8">
        <v>6</v>
      </c>
      <c r="C729" s="8">
        <f t="shared" ref="C729:C943" si="122">B729/2</f>
        <v>3</v>
      </c>
      <c r="D729" s="16" t="s">
        <v>25</v>
      </c>
      <c r="E729" s="12" t="s">
        <v>58</v>
      </c>
      <c r="F729" s="17" t="s">
        <v>34</v>
      </c>
      <c r="G729" s="17" t="s">
        <v>37</v>
      </c>
      <c r="H729" s="17" t="s">
        <v>29</v>
      </c>
      <c r="I729" s="17" t="s">
        <v>36</v>
      </c>
      <c r="J729" s="8">
        <v>3</v>
      </c>
      <c r="K729" s="8">
        <v>3.9849999999999999</v>
      </c>
      <c r="L729" s="8">
        <f t="shared" si="105"/>
        <v>32.833333333333329</v>
      </c>
      <c r="M729" s="9">
        <v>82</v>
      </c>
      <c r="N729" s="9">
        <v>93.5</v>
      </c>
      <c r="O729" s="10">
        <f t="shared" si="114"/>
        <v>14.02439024390244</v>
      </c>
      <c r="P729" s="11" t="s">
        <v>31</v>
      </c>
      <c r="Q729" s="11" t="s">
        <v>31</v>
      </c>
      <c r="R729" s="33" t="s">
        <v>31</v>
      </c>
      <c r="S729" s="37">
        <f t="shared" si="116"/>
        <v>1.4771212547196624</v>
      </c>
      <c r="T729" s="37">
        <f t="shared" si="117"/>
        <v>2.516314975777949</v>
      </c>
      <c r="U729" s="42">
        <f t="shared" si="118"/>
        <v>2.9138138523837167</v>
      </c>
      <c r="V729" s="41">
        <f t="shared" si="119"/>
        <v>2.1468839879698951</v>
      </c>
      <c r="W729" s="43" t="e">
        <f t="shared" si="120"/>
        <v>#VALUE!</v>
      </c>
      <c r="X729" s="43" t="e">
        <f t="shared" si="121"/>
        <v>#VALUE!</v>
      </c>
    </row>
    <row r="730" spans="1:24" ht="14.25" customHeight="1">
      <c r="A730" s="55"/>
      <c r="B730" s="8">
        <v>6</v>
      </c>
      <c r="C730" s="8">
        <f t="shared" si="122"/>
        <v>3</v>
      </c>
      <c r="D730" s="16" t="s">
        <v>25</v>
      </c>
      <c r="E730" s="12" t="s">
        <v>58</v>
      </c>
      <c r="F730" s="17" t="s">
        <v>34</v>
      </c>
      <c r="G730" s="17" t="s">
        <v>37</v>
      </c>
      <c r="H730" s="17" t="s">
        <v>29</v>
      </c>
      <c r="I730" s="17" t="s">
        <v>36</v>
      </c>
      <c r="J730" s="8">
        <v>3</v>
      </c>
      <c r="K730" s="8">
        <v>3.843</v>
      </c>
      <c r="L730" s="8">
        <f t="shared" si="105"/>
        <v>28.099999999999998</v>
      </c>
      <c r="M730" s="9">
        <v>82</v>
      </c>
      <c r="N730" s="9">
        <v>87.3</v>
      </c>
      <c r="O730" s="10">
        <f t="shared" si="114"/>
        <v>6.4634146341463374</v>
      </c>
      <c r="P730" s="11" t="s">
        <v>31</v>
      </c>
      <c r="Q730" s="11" t="s">
        <v>31</v>
      </c>
      <c r="R730" s="33" t="s">
        <v>31</v>
      </c>
      <c r="S730" s="37">
        <f t="shared" si="116"/>
        <v>1.4771212547196624</v>
      </c>
      <c r="T730" s="37">
        <f t="shared" si="117"/>
        <v>2.4487063199050798</v>
      </c>
      <c r="U730" s="42">
        <f t="shared" si="118"/>
        <v>2.9138138523837167</v>
      </c>
      <c r="V730" s="41">
        <f t="shared" si="119"/>
        <v>1.810462017217072</v>
      </c>
      <c r="W730" s="43" t="e">
        <f t="shared" si="120"/>
        <v>#VALUE!</v>
      </c>
      <c r="X730" s="43" t="e">
        <f t="shared" si="121"/>
        <v>#VALUE!</v>
      </c>
    </row>
    <row r="731" spans="1:24" ht="14.25" customHeight="1">
      <c r="A731" s="55"/>
      <c r="B731" s="8">
        <v>6</v>
      </c>
      <c r="C731" s="8">
        <f t="shared" si="122"/>
        <v>3</v>
      </c>
      <c r="D731" s="16" t="s">
        <v>25</v>
      </c>
      <c r="E731" s="12" t="s">
        <v>58</v>
      </c>
      <c r="F731" s="17" t="s">
        <v>34</v>
      </c>
      <c r="G731" s="17" t="s">
        <v>37</v>
      </c>
      <c r="H731" s="17" t="s">
        <v>29</v>
      </c>
      <c r="I731" s="17" t="s">
        <v>36</v>
      </c>
      <c r="J731" s="8">
        <v>3</v>
      </c>
      <c r="K731" s="8">
        <v>3.984</v>
      </c>
      <c r="L731" s="8">
        <f t="shared" si="105"/>
        <v>32.800000000000004</v>
      </c>
      <c r="M731" s="9">
        <v>82</v>
      </c>
      <c r="N731" s="9">
        <v>89.8</v>
      </c>
      <c r="O731" s="10">
        <f t="shared" si="114"/>
        <v>9.5121951219512155</v>
      </c>
      <c r="P731" s="11" t="s">
        <v>31</v>
      </c>
      <c r="Q731" s="11" t="s">
        <v>31</v>
      </c>
      <c r="R731" s="33" t="s">
        <v>31</v>
      </c>
      <c r="S731" s="37">
        <f t="shared" si="116"/>
        <v>1.4771212547196624</v>
      </c>
      <c r="T731" s="37">
        <f t="shared" si="117"/>
        <v>2.5158738437116792</v>
      </c>
      <c r="U731" s="42">
        <f t="shared" si="118"/>
        <v>2.9138138523837167</v>
      </c>
      <c r="V731" s="41">
        <f t="shared" si="119"/>
        <v>1.9782807503067634</v>
      </c>
      <c r="W731" s="43" t="e">
        <f t="shared" si="120"/>
        <v>#VALUE!</v>
      </c>
      <c r="X731" s="43" t="e">
        <f t="shared" si="121"/>
        <v>#VALUE!</v>
      </c>
    </row>
    <row r="732" spans="1:24" ht="14.25" customHeight="1">
      <c r="A732" s="55"/>
      <c r="B732" s="8">
        <v>6</v>
      </c>
      <c r="C732" s="8">
        <f t="shared" si="122"/>
        <v>3</v>
      </c>
      <c r="D732" s="16" t="s">
        <v>25</v>
      </c>
      <c r="E732" s="12" t="s">
        <v>58</v>
      </c>
      <c r="F732" s="17" t="s">
        <v>34</v>
      </c>
      <c r="G732" s="17" t="s">
        <v>37</v>
      </c>
      <c r="H732" s="17" t="s">
        <v>29</v>
      </c>
      <c r="I732" s="17" t="s">
        <v>36</v>
      </c>
      <c r="J732" s="8">
        <v>3</v>
      </c>
      <c r="K732" s="8">
        <v>3.4580000000000002</v>
      </c>
      <c r="L732" s="8">
        <f t="shared" si="105"/>
        <v>15.266666666666673</v>
      </c>
      <c r="M732" s="9">
        <v>82</v>
      </c>
      <c r="N732" s="9">
        <v>89.9</v>
      </c>
      <c r="O732" s="10">
        <f t="shared" si="114"/>
        <v>9.6341463414634223</v>
      </c>
      <c r="P732" s="11" t="s">
        <v>31</v>
      </c>
      <c r="Q732" s="11" t="s">
        <v>31</v>
      </c>
      <c r="R732" s="33" t="s">
        <v>31</v>
      </c>
      <c r="S732" s="37">
        <f t="shared" si="116"/>
        <v>1.4771212547196624</v>
      </c>
      <c r="T732" s="37">
        <f t="shared" si="117"/>
        <v>2.183744223284207</v>
      </c>
      <c r="U732" s="42">
        <f t="shared" si="118"/>
        <v>2.9138138523837167</v>
      </c>
      <c r="V732" s="41">
        <f t="shared" si="119"/>
        <v>1.9838132389067251</v>
      </c>
      <c r="W732" s="43" t="e">
        <f t="shared" si="120"/>
        <v>#VALUE!</v>
      </c>
      <c r="X732" s="43" t="e">
        <f t="shared" si="121"/>
        <v>#VALUE!</v>
      </c>
    </row>
    <row r="733" spans="1:24" ht="14.25" customHeight="1">
      <c r="A733" s="56"/>
      <c r="B733" s="8">
        <v>6</v>
      </c>
      <c r="C733" s="8">
        <f t="shared" si="122"/>
        <v>3</v>
      </c>
      <c r="D733" s="16" t="s">
        <v>25</v>
      </c>
      <c r="E733" s="12" t="s">
        <v>58</v>
      </c>
      <c r="F733" s="17" t="s">
        <v>34</v>
      </c>
      <c r="G733" s="17" t="s">
        <v>37</v>
      </c>
      <c r="H733" s="17" t="s">
        <v>29</v>
      </c>
      <c r="I733" s="17" t="s">
        <v>36</v>
      </c>
      <c r="J733" s="8">
        <v>3</v>
      </c>
      <c r="K733" s="8">
        <v>3.9380000000000002</v>
      </c>
      <c r="L733" s="8">
        <f t="shared" si="105"/>
        <v>31.266666666666669</v>
      </c>
      <c r="M733" s="9">
        <v>82</v>
      </c>
      <c r="N733" s="9">
        <v>90.4</v>
      </c>
      <c r="O733" s="10">
        <f t="shared" si="114"/>
        <v>10.243902439024396</v>
      </c>
      <c r="P733" s="11" t="s">
        <v>31</v>
      </c>
      <c r="Q733" s="11" t="s">
        <v>31</v>
      </c>
      <c r="R733" s="33" t="s">
        <v>31</v>
      </c>
      <c r="S733" s="37">
        <f t="shared" si="116"/>
        <v>1.4771212547196624</v>
      </c>
      <c r="T733" s="37">
        <f t="shared" si="117"/>
        <v>2.495081583659402</v>
      </c>
      <c r="U733" s="42">
        <f t="shared" si="118"/>
        <v>2.9138138523837167</v>
      </c>
      <c r="V733" s="41">
        <f t="shared" si="119"/>
        <v>2.0104654336781653</v>
      </c>
      <c r="W733" s="43" t="e">
        <f t="shared" si="120"/>
        <v>#VALUE!</v>
      </c>
      <c r="X733" s="43" t="e">
        <f t="shared" si="121"/>
        <v>#VALUE!</v>
      </c>
    </row>
    <row r="734" spans="1:24" ht="14.25" customHeight="1">
      <c r="A734" s="45" t="s">
        <v>253</v>
      </c>
      <c r="B734" s="8">
        <v>10</v>
      </c>
      <c r="C734" s="8">
        <f t="shared" si="122"/>
        <v>5</v>
      </c>
      <c r="D734" s="16" t="s">
        <v>25</v>
      </c>
      <c r="E734" s="12" t="s">
        <v>121</v>
      </c>
      <c r="F734" s="17" t="s">
        <v>34</v>
      </c>
      <c r="G734" s="17" t="s">
        <v>35</v>
      </c>
      <c r="H734" s="17" t="s">
        <v>29</v>
      </c>
      <c r="I734" s="17" t="s">
        <v>36</v>
      </c>
      <c r="J734" s="8">
        <v>2.87</v>
      </c>
      <c r="K734" s="8">
        <v>2.39</v>
      </c>
      <c r="L734" s="8">
        <f t="shared" si="105"/>
        <v>-16.724738675958186</v>
      </c>
      <c r="M734" s="9">
        <v>52.32</v>
      </c>
      <c r="N734" s="9">
        <v>85.06</v>
      </c>
      <c r="O734" s="10">
        <f t="shared" si="114"/>
        <v>62.576452599388389</v>
      </c>
      <c r="P734" s="11" t="s">
        <v>31</v>
      </c>
      <c r="Q734" s="11" t="s">
        <v>31</v>
      </c>
      <c r="R734" s="33" t="s">
        <v>31</v>
      </c>
      <c r="S734" s="37">
        <f t="shared" si="116"/>
        <v>1.4578818967339924</v>
      </c>
      <c r="T734" s="37" t="e">
        <f t="shared" si="117"/>
        <v>#NUM!</v>
      </c>
      <c r="U734" s="42">
        <f t="shared" si="118"/>
        <v>2.718667735316211</v>
      </c>
      <c r="V734" s="41">
        <f t="shared" si="119"/>
        <v>2.7964109397597117</v>
      </c>
      <c r="W734" s="43" t="e">
        <f t="shared" si="120"/>
        <v>#VALUE!</v>
      </c>
      <c r="X734" s="43" t="e">
        <f t="shared" si="121"/>
        <v>#VALUE!</v>
      </c>
    </row>
    <row r="735" spans="1:24" ht="14.25" customHeight="1">
      <c r="A735" s="49"/>
      <c r="B735" s="8">
        <v>20</v>
      </c>
      <c r="C735" s="8">
        <f t="shared" si="122"/>
        <v>10</v>
      </c>
      <c r="D735" s="16" t="s">
        <v>25</v>
      </c>
      <c r="E735" s="12" t="s">
        <v>121</v>
      </c>
      <c r="F735" s="17" t="s">
        <v>34</v>
      </c>
      <c r="G735" s="17" t="s">
        <v>35</v>
      </c>
      <c r="H735" s="17" t="s">
        <v>29</v>
      </c>
      <c r="I735" s="17" t="s">
        <v>36</v>
      </c>
      <c r="J735" s="8">
        <v>2.87</v>
      </c>
      <c r="K735" s="8">
        <v>2.2200000000000002</v>
      </c>
      <c r="L735" s="8">
        <f t="shared" si="105"/>
        <v>-22.648083623693378</v>
      </c>
      <c r="M735" s="9">
        <v>52.32</v>
      </c>
      <c r="N735" s="9">
        <v>81.510000000000005</v>
      </c>
      <c r="O735" s="10">
        <f t="shared" si="114"/>
        <v>55.791284403669735</v>
      </c>
      <c r="P735" s="11" t="s">
        <v>31</v>
      </c>
      <c r="Q735" s="11" t="s">
        <v>31</v>
      </c>
      <c r="R735" s="33" t="s">
        <v>31</v>
      </c>
      <c r="S735" s="37">
        <f t="shared" si="116"/>
        <v>1.4578818967339924</v>
      </c>
      <c r="T735" s="37" t="e">
        <f t="shared" si="117"/>
        <v>#NUM!</v>
      </c>
      <c r="U735" s="42">
        <f t="shared" si="118"/>
        <v>2.718667735316211</v>
      </c>
      <c r="V735" s="41">
        <f t="shared" si="119"/>
        <v>2.7465663596718035</v>
      </c>
      <c r="W735" s="43" t="e">
        <f t="shared" si="120"/>
        <v>#VALUE!</v>
      </c>
      <c r="X735" s="43" t="e">
        <f t="shared" si="121"/>
        <v>#VALUE!</v>
      </c>
    </row>
    <row r="736" spans="1:24" ht="14.25" customHeight="1">
      <c r="A736" s="50"/>
      <c r="B736" s="8">
        <v>30</v>
      </c>
      <c r="C736" s="8">
        <f t="shared" si="122"/>
        <v>15</v>
      </c>
      <c r="D736" s="16" t="s">
        <v>25</v>
      </c>
      <c r="E736" s="12" t="s">
        <v>121</v>
      </c>
      <c r="F736" s="17" t="s">
        <v>34</v>
      </c>
      <c r="G736" s="17" t="s">
        <v>35</v>
      </c>
      <c r="H736" s="17" t="s">
        <v>29</v>
      </c>
      <c r="I736" s="17" t="s">
        <v>36</v>
      </c>
      <c r="J736" s="8">
        <v>2.87</v>
      </c>
      <c r="K736" s="8">
        <v>2.14</v>
      </c>
      <c r="L736" s="8">
        <f t="shared" si="105"/>
        <v>-25.435540069686407</v>
      </c>
      <c r="M736" s="9">
        <v>52.32</v>
      </c>
      <c r="N736" s="9">
        <v>74.42</v>
      </c>
      <c r="O736" s="10">
        <f t="shared" si="114"/>
        <v>42.240061162079513</v>
      </c>
      <c r="P736" s="11" t="s">
        <v>31</v>
      </c>
      <c r="Q736" s="11" t="s">
        <v>31</v>
      </c>
      <c r="R736" s="33" t="s">
        <v>31</v>
      </c>
      <c r="S736" s="37">
        <f t="shared" si="116"/>
        <v>1.4578818967339924</v>
      </c>
      <c r="T736" s="37" t="e">
        <f t="shared" si="117"/>
        <v>#NUM!</v>
      </c>
      <c r="U736" s="42">
        <f t="shared" si="118"/>
        <v>2.718667735316211</v>
      </c>
      <c r="V736" s="41">
        <f t="shared" si="119"/>
        <v>2.6257245383689001</v>
      </c>
      <c r="W736" s="43" t="e">
        <f t="shared" si="120"/>
        <v>#VALUE!</v>
      </c>
      <c r="X736" s="43" t="e">
        <f t="shared" si="121"/>
        <v>#VALUE!</v>
      </c>
    </row>
    <row r="737" spans="1:24" ht="14.25" customHeight="1">
      <c r="A737" s="45" t="s">
        <v>254</v>
      </c>
      <c r="B737" s="8">
        <v>1</v>
      </c>
      <c r="C737" s="8">
        <f t="shared" si="122"/>
        <v>0.5</v>
      </c>
      <c r="D737" s="16" t="s">
        <v>42</v>
      </c>
      <c r="E737" s="12" t="s">
        <v>43</v>
      </c>
      <c r="F737" s="17" t="s">
        <v>34</v>
      </c>
      <c r="G737" s="17" t="s">
        <v>37</v>
      </c>
      <c r="H737" s="17" t="s">
        <v>29</v>
      </c>
      <c r="I737" s="17" t="s">
        <v>36</v>
      </c>
      <c r="J737" s="8">
        <v>3.35</v>
      </c>
      <c r="K737" s="8">
        <v>3.38</v>
      </c>
      <c r="L737" s="8">
        <f t="shared" si="105"/>
        <v>0.89552238805969564</v>
      </c>
      <c r="M737" s="9">
        <v>72</v>
      </c>
      <c r="N737" s="9">
        <v>70</v>
      </c>
      <c r="O737" s="10">
        <f t="shared" si="114"/>
        <v>-2.7777777777777777</v>
      </c>
      <c r="P737" s="11">
        <v>7</v>
      </c>
      <c r="Q737" s="11">
        <v>2.8</v>
      </c>
      <c r="R737" s="33">
        <f t="shared" ref="R737:R799" si="123">((Q737-P737)/P737)*100</f>
        <v>-60</v>
      </c>
      <c r="S737" s="37">
        <f t="shared" si="116"/>
        <v>1.5250448070368452</v>
      </c>
      <c r="T737" s="37">
        <f t="shared" si="117"/>
        <v>0.95207644768281441</v>
      </c>
      <c r="U737" s="42">
        <f t="shared" si="118"/>
        <v>2.8573324964312685</v>
      </c>
      <c r="V737" s="41" t="e">
        <f t="shared" si="119"/>
        <v>#NUM!</v>
      </c>
      <c r="W737" s="43">
        <f t="shared" si="120"/>
        <v>1.8450980400142569</v>
      </c>
      <c r="X737" s="43" t="e">
        <f t="shared" si="121"/>
        <v>#NUM!</v>
      </c>
    </row>
    <row r="738" spans="1:24" ht="14.25" customHeight="1">
      <c r="A738" s="46"/>
      <c r="B738" s="8">
        <v>3</v>
      </c>
      <c r="C738" s="8">
        <f t="shared" si="122"/>
        <v>1.5</v>
      </c>
      <c r="D738" s="16" t="s">
        <v>42</v>
      </c>
      <c r="E738" s="12" t="s">
        <v>43</v>
      </c>
      <c r="F738" s="17" t="s">
        <v>34</v>
      </c>
      <c r="G738" s="17" t="s">
        <v>37</v>
      </c>
      <c r="H738" s="17" t="s">
        <v>29</v>
      </c>
      <c r="I738" s="17" t="s">
        <v>36</v>
      </c>
      <c r="J738" s="8">
        <v>3.35</v>
      </c>
      <c r="K738" s="8">
        <v>3.4</v>
      </c>
      <c r="L738" s="8">
        <f t="shared" si="105"/>
        <v>1.4925373134328304</v>
      </c>
      <c r="M738" s="9">
        <v>72</v>
      </c>
      <c r="N738" s="9">
        <v>61</v>
      </c>
      <c r="O738" s="10">
        <f t="shared" si="114"/>
        <v>-15.277777777777779</v>
      </c>
      <c r="P738" s="11">
        <v>7</v>
      </c>
      <c r="Q738" s="11">
        <v>2.2999999999999998</v>
      </c>
      <c r="R738" s="33">
        <f t="shared" si="123"/>
        <v>-67.142857142857153</v>
      </c>
      <c r="S738" s="37">
        <f t="shared" si="116"/>
        <v>1.5250448070368452</v>
      </c>
      <c r="T738" s="37">
        <f t="shared" si="117"/>
        <v>1.173925197299172</v>
      </c>
      <c r="U738" s="42">
        <f t="shared" si="118"/>
        <v>2.8573324964312685</v>
      </c>
      <c r="V738" s="41" t="e">
        <f t="shared" si="119"/>
        <v>#NUM!</v>
      </c>
      <c r="W738" s="43">
        <f t="shared" si="120"/>
        <v>1.8450980400142569</v>
      </c>
      <c r="X738" s="43" t="e">
        <f t="shared" si="121"/>
        <v>#NUM!</v>
      </c>
    </row>
    <row r="739" spans="1:24" ht="14.25" customHeight="1">
      <c r="A739" s="49"/>
      <c r="B739" s="8">
        <v>5</v>
      </c>
      <c r="C739" s="8">
        <f t="shared" si="122"/>
        <v>2.5</v>
      </c>
      <c r="D739" s="16" t="s">
        <v>42</v>
      </c>
      <c r="E739" s="12" t="s">
        <v>43</v>
      </c>
      <c r="F739" s="17" t="s">
        <v>34</v>
      </c>
      <c r="G739" s="17" t="s">
        <v>37</v>
      </c>
      <c r="H739" s="17" t="s">
        <v>29</v>
      </c>
      <c r="I739" s="17" t="s">
        <v>36</v>
      </c>
      <c r="J739" s="8">
        <v>3.35</v>
      </c>
      <c r="K739" s="8">
        <v>3.48</v>
      </c>
      <c r="L739" s="8">
        <f t="shared" si="105"/>
        <v>3.8805970149253701</v>
      </c>
      <c r="M739" s="9">
        <v>72</v>
      </c>
      <c r="N739" s="9">
        <v>57</v>
      </c>
      <c r="O739" s="10">
        <f t="shared" si="114"/>
        <v>-20.833333333333336</v>
      </c>
      <c r="P739" s="11">
        <v>7</v>
      </c>
      <c r="Q739" s="11">
        <v>2</v>
      </c>
      <c r="R739" s="33">
        <f t="shared" si="123"/>
        <v>-71.428571428571431</v>
      </c>
      <c r="S739" s="37">
        <f t="shared" si="116"/>
        <v>1.5250448070368452</v>
      </c>
      <c r="T739" s="37">
        <f t="shared" si="117"/>
        <v>1.5888985452699913</v>
      </c>
      <c r="U739" s="42">
        <f t="shared" si="118"/>
        <v>2.8573324964312685</v>
      </c>
      <c r="V739" s="41" t="e">
        <f t="shared" si="119"/>
        <v>#NUM!</v>
      </c>
      <c r="W739" s="43">
        <f t="shared" si="120"/>
        <v>1.8450980400142569</v>
      </c>
      <c r="X739" s="43" t="e">
        <f t="shared" si="121"/>
        <v>#NUM!</v>
      </c>
    </row>
    <row r="740" spans="1:24" ht="14.25" customHeight="1">
      <c r="A740" s="49"/>
      <c r="B740" s="8">
        <v>1</v>
      </c>
      <c r="C740" s="8">
        <f t="shared" si="122"/>
        <v>0.5</v>
      </c>
      <c r="D740" s="16" t="s">
        <v>42</v>
      </c>
      <c r="E740" s="12" t="s">
        <v>43</v>
      </c>
      <c r="F740" s="17" t="s">
        <v>34</v>
      </c>
      <c r="G740" s="17" t="s">
        <v>37</v>
      </c>
      <c r="H740" s="17" t="s">
        <v>29</v>
      </c>
      <c r="I740" s="17" t="s">
        <v>36</v>
      </c>
      <c r="J740" s="8">
        <v>3.35</v>
      </c>
      <c r="K740" s="8">
        <v>3.35</v>
      </c>
      <c r="L740" s="8">
        <f t="shared" si="105"/>
        <v>0</v>
      </c>
      <c r="M740" s="9">
        <v>72</v>
      </c>
      <c r="N740" s="9">
        <v>68</v>
      </c>
      <c r="O740" s="10">
        <f t="shared" si="114"/>
        <v>-5.5555555555555554</v>
      </c>
      <c r="P740" s="11">
        <v>7</v>
      </c>
      <c r="Q740" s="11">
        <v>2.7</v>
      </c>
      <c r="R740" s="33">
        <f t="shared" si="123"/>
        <v>-61.428571428571423</v>
      </c>
      <c r="S740" s="37">
        <f t="shared" si="116"/>
        <v>1.5250448070368452</v>
      </c>
      <c r="T740" s="37" t="e">
        <f t="shared" si="117"/>
        <v>#NUM!</v>
      </c>
      <c r="U740" s="42">
        <f t="shared" si="118"/>
        <v>2.8573324964312685</v>
      </c>
      <c r="V740" s="41" t="e">
        <f t="shared" si="119"/>
        <v>#NUM!</v>
      </c>
      <c r="W740" s="43">
        <f t="shared" si="120"/>
        <v>1.8450980400142569</v>
      </c>
      <c r="X740" s="43" t="e">
        <f t="shared" si="121"/>
        <v>#NUM!</v>
      </c>
    </row>
    <row r="741" spans="1:24" ht="14.25" customHeight="1">
      <c r="A741" s="49"/>
      <c r="B741" s="8">
        <v>3</v>
      </c>
      <c r="C741" s="8">
        <f t="shared" si="122"/>
        <v>1.5</v>
      </c>
      <c r="D741" s="16" t="s">
        <v>42</v>
      </c>
      <c r="E741" s="12" t="s">
        <v>43</v>
      </c>
      <c r="F741" s="17" t="s">
        <v>34</v>
      </c>
      <c r="G741" s="17" t="s">
        <v>37</v>
      </c>
      <c r="H741" s="17" t="s">
        <v>29</v>
      </c>
      <c r="I741" s="17" t="s">
        <v>36</v>
      </c>
      <c r="J741" s="8">
        <v>3.35</v>
      </c>
      <c r="K741" s="8">
        <v>3.38</v>
      </c>
      <c r="L741" s="8">
        <f t="shared" si="105"/>
        <v>0.89552238805969564</v>
      </c>
      <c r="M741" s="9">
        <v>72</v>
      </c>
      <c r="N741" s="9">
        <v>60</v>
      </c>
      <c r="O741" s="10">
        <f t="shared" si="114"/>
        <v>-16.666666666666664</v>
      </c>
      <c r="P741" s="11">
        <v>7</v>
      </c>
      <c r="Q741" s="11">
        <v>2.2000000000000002</v>
      </c>
      <c r="R741" s="33">
        <f t="shared" si="123"/>
        <v>-68.571428571428569</v>
      </c>
      <c r="S741" s="37">
        <f t="shared" si="116"/>
        <v>1.5250448070368452</v>
      </c>
      <c r="T741" s="37">
        <f t="shared" si="117"/>
        <v>0.95207644768281441</v>
      </c>
      <c r="U741" s="42">
        <f t="shared" si="118"/>
        <v>2.8573324964312685</v>
      </c>
      <c r="V741" s="41" t="e">
        <f t="shared" si="119"/>
        <v>#NUM!</v>
      </c>
      <c r="W741" s="43">
        <f t="shared" si="120"/>
        <v>1.8450980400142569</v>
      </c>
      <c r="X741" s="43" t="e">
        <f t="shared" si="121"/>
        <v>#NUM!</v>
      </c>
    </row>
    <row r="742" spans="1:24" ht="14.25" customHeight="1">
      <c r="A742" s="50"/>
      <c r="B742" s="8">
        <v>5</v>
      </c>
      <c r="C742" s="8">
        <f t="shared" si="122"/>
        <v>2.5</v>
      </c>
      <c r="D742" s="16" t="s">
        <v>42</v>
      </c>
      <c r="E742" s="12" t="s">
        <v>43</v>
      </c>
      <c r="F742" s="17" t="s">
        <v>34</v>
      </c>
      <c r="G742" s="17" t="s">
        <v>37</v>
      </c>
      <c r="H742" s="17" t="s">
        <v>29</v>
      </c>
      <c r="I742" s="17" t="s">
        <v>36</v>
      </c>
      <c r="J742" s="8">
        <v>3.35</v>
      </c>
      <c r="K742" s="8">
        <v>3.45</v>
      </c>
      <c r="L742" s="8">
        <f t="shared" si="105"/>
        <v>2.9850746268656745</v>
      </c>
      <c r="M742" s="9">
        <v>72</v>
      </c>
      <c r="N742" s="9">
        <v>56</v>
      </c>
      <c r="O742" s="10">
        <f t="shared" si="114"/>
        <v>-22.222222222222221</v>
      </c>
      <c r="P742" s="11">
        <v>7</v>
      </c>
      <c r="Q742" s="11">
        <v>2</v>
      </c>
      <c r="R742" s="33">
        <f t="shared" si="123"/>
        <v>-71.428571428571431</v>
      </c>
      <c r="S742" s="37">
        <f t="shared" si="116"/>
        <v>1.5250448070368452</v>
      </c>
      <c r="T742" s="37">
        <f t="shared" si="117"/>
        <v>1.4749551929631552</v>
      </c>
      <c r="U742" s="42">
        <f t="shared" si="118"/>
        <v>2.8573324964312685</v>
      </c>
      <c r="V742" s="41" t="e">
        <f t="shared" si="119"/>
        <v>#NUM!</v>
      </c>
      <c r="W742" s="43">
        <f t="shared" si="120"/>
        <v>1.8450980400142569</v>
      </c>
      <c r="X742" s="43" t="e">
        <f t="shared" si="121"/>
        <v>#NUM!</v>
      </c>
    </row>
    <row r="743" spans="1:24" ht="14.25" customHeight="1">
      <c r="A743" s="45" t="s">
        <v>255</v>
      </c>
      <c r="B743" s="8">
        <v>3</v>
      </c>
      <c r="C743" s="8">
        <f t="shared" si="122"/>
        <v>1.5</v>
      </c>
      <c r="D743" s="16" t="s">
        <v>25</v>
      </c>
      <c r="E743" s="12" t="s">
        <v>33</v>
      </c>
      <c r="F743" s="17" t="s">
        <v>34</v>
      </c>
      <c r="G743" s="17" t="s">
        <v>37</v>
      </c>
      <c r="H743" s="17" t="s">
        <v>29</v>
      </c>
      <c r="I743" s="17" t="s">
        <v>36</v>
      </c>
      <c r="J743" s="8">
        <v>1.0329999999999999</v>
      </c>
      <c r="K743" s="8">
        <v>1.0780000000000001</v>
      </c>
      <c r="L743" s="8">
        <f t="shared" si="105"/>
        <v>4.356243949661196</v>
      </c>
      <c r="M743" s="9">
        <v>28.2</v>
      </c>
      <c r="N743" s="9">
        <v>30.3</v>
      </c>
      <c r="O743" s="10">
        <f t="shared" si="114"/>
        <v>7.4468085106383031</v>
      </c>
      <c r="P743" s="11">
        <v>1.0860000000000001</v>
      </c>
      <c r="Q743" s="11">
        <v>0.95499999999999996</v>
      </c>
      <c r="R743" s="33">
        <f t="shared" si="123"/>
        <v>-12.062615101289143</v>
      </c>
      <c r="S743" s="37">
        <f t="shared" si="116"/>
        <v>1.0141003215196205</v>
      </c>
      <c r="T743" s="37">
        <f t="shared" si="117"/>
        <v>1.6391121922557246</v>
      </c>
      <c r="U743" s="42">
        <f t="shared" si="118"/>
        <v>2.4502491083193609</v>
      </c>
      <c r="V743" s="41">
        <f t="shared" si="119"/>
        <v>1.8719701864145584</v>
      </c>
      <c r="W743" s="43">
        <f t="shared" si="120"/>
        <v>1.0358298252528282</v>
      </c>
      <c r="X743" s="43" t="e">
        <f t="shared" si="121"/>
        <v>#NUM!</v>
      </c>
    </row>
    <row r="744" spans="1:24" ht="14.25" customHeight="1">
      <c r="A744" s="46"/>
      <c r="B744" s="8">
        <v>5</v>
      </c>
      <c r="C744" s="8">
        <f t="shared" si="122"/>
        <v>2.5</v>
      </c>
      <c r="D744" s="16" t="s">
        <v>25</v>
      </c>
      <c r="E744" s="12" t="s">
        <v>33</v>
      </c>
      <c r="F744" s="17" t="s">
        <v>34</v>
      </c>
      <c r="G744" s="17" t="s">
        <v>37</v>
      </c>
      <c r="H744" s="17" t="s">
        <v>29</v>
      </c>
      <c r="I744" s="17" t="s">
        <v>36</v>
      </c>
      <c r="J744" s="8">
        <v>1.0329999999999999</v>
      </c>
      <c r="K744" s="8">
        <v>1.155</v>
      </c>
      <c r="L744" s="8">
        <f t="shared" si="105"/>
        <v>11.81026137463699</v>
      </c>
      <c r="M744" s="9">
        <v>28.2</v>
      </c>
      <c r="N744" s="9">
        <v>32.4</v>
      </c>
      <c r="O744" s="10">
        <f t="shared" si="114"/>
        <v>14.893617021276592</v>
      </c>
      <c r="P744" s="11">
        <v>1.0860000000000001</v>
      </c>
      <c r="Q744" s="11">
        <v>0.876</v>
      </c>
      <c r="R744" s="33">
        <f t="shared" si="123"/>
        <v>-19.33701657458564</v>
      </c>
      <c r="S744" s="37">
        <f t="shared" si="116"/>
        <v>1.0141003215196205</v>
      </c>
      <c r="T744" s="37">
        <f t="shared" si="117"/>
        <v>2.0722595091551281</v>
      </c>
      <c r="U744" s="42">
        <f t="shared" si="118"/>
        <v>2.4502491083193609</v>
      </c>
      <c r="V744" s="41">
        <f t="shared" si="119"/>
        <v>2.1730001820785394</v>
      </c>
      <c r="W744" s="43">
        <f t="shared" si="120"/>
        <v>1.0358298252528282</v>
      </c>
      <c r="X744" s="43" t="e">
        <f t="shared" si="121"/>
        <v>#NUM!</v>
      </c>
    </row>
    <row r="745" spans="1:24" ht="14.25" customHeight="1">
      <c r="A745" s="46"/>
      <c r="B745" s="8">
        <v>7</v>
      </c>
      <c r="C745" s="8">
        <f t="shared" si="122"/>
        <v>3.5</v>
      </c>
      <c r="D745" s="16" t="s">
        <v>25</v>
      </c>
      <c r="E745" s="12" t="s">
        <v>33</v>
      </c>
      <c r="F745" s="17" t="s">
        <v>34</v>
      </c>
      <c r="G745" s="17" t="s">
        <v>37</v>
      </c>
      <c r="H745" s="17" t="s">
        <v>29</v>
      </c>
      <c r="I745" s="17" t="s">
        <v>36</v>
      </c>
      <c r="J745" s="8">
        <v>1.0329999999999999</v>
      </c>
      <c r="K745" s="8">
        <v>1.111</v>
      </c>
      <c r="L745" s="8">
        <f t="shared" si="105"/>
        <v>7.5508228460793871</v>
      </c>
      <c r="M745" s="9">
        <v>28.2</v>
      </c>
      <c r="N745" s="9">
        <v>31.6</v>
      </c>
      <c r="O745" s="10">
        <f t="shared" si="114"/>
        <v>12.05673758865249</v>
      </c>
      <c r="P745" s="11">
        <v>1.0860000000000001</v>
      </c>
      <c r="Q745" s="11">
        <v>0.85299999999999998</v>
      </c>
      <c r="R745" s="33">
        <f t="shared" si="123"/>
        <v>-21.454880294659308</v>
      </c>
      <c r="S745" s="37">
        <f t="shared" si="116"/>
        <v>1.0141003215196205</v>
      </c>
      <c r="T745" s="37">
        <f t="shared" si="117"/>
        <v>1.8779942811708603</v>
      </c>
      <c r="U745" s="42">
        <f t="shared" si="118"/>
        <v>2.4502491083193609</v>
      </c>
      <c r="V745" s="41">
        <f t="shared" si="119"/>
        <v>2.0812298087228944</v>
      </c>
      <c r="W745" s="43">
        <f t="shared" si="120"/>
        <v>1.0358298252528282</v>
      </c>
      <c r="X745" s="43" t="e">
        <f t="shared" si="121"/>
        <v>#NUM!</v>
      </c>
    </row>
    <row r="746" spans="1:24" ht="14.25" customHeight="1">
      <c r="A746" s="46"/>
      <c r="B746" s="8">
        <v>5</v>
      </c>
      <c r="C746" s="8">
        <f t="shared" si="122"/>
        <v>2.5</v>
      </c>
      <c r="D746" s="16" t="s">
        <v>25</v>
      </c>
      <c r="E746" s="12" t="s">
        <v>33</v>
      </c>
      <c r="F746" s="17" t="s">
        <v>34</v>
      </c>
      <c r="G746" s="17" t="s">
        <v>37</v>
      </c>
      <c r="H746" s="17" t="s">
        <v>29</v>
      </c>
      <c r="I746" s="17" t="s">
        <v>36</v>
      </c>
      <c r="J746" s="8">
        <v>1.0329999999999999</v>
      </c>
      <c r="K746" s="8">
        <v>1.2330000000000001</v>
      </c>
      <c r="L746" s="8">
        <f t="shared" si="105"/>
        <v>19.361084220716378</v>
      </c>
      <c r="M746" s="9">
        <v>28.2</v>
      </c>
      <c r="N746" s="9">
        <v>33.799999999999997</v>
      </c>
      <c r="O746" s="10">
        <f t="shared" si="114"/>
        <v>19.858156028368786</v>
      </c>
      <c r="P746" s="11">
        <v>1.0860000000000001</v>
      </c>
      <c r="Q746" s="11">
        <v>0.81299999999999994</v>
      </c>
      <c r="R746" s="33">
        <f t="shared" si="123"/>
        <v>-25.138121546961333</v>
      </c>
      <c r="S746" s="37">
        <f t="shared" si="116"/>
        <v>1.0141003215196205</v>
      </c>
      <c r="T746" s="37">
        <f t="shared" si="117"/>
        <v>2.286929674144361</v>
      </c>
      <c r="U746" s="42">
        <f t="shared" si="118"/>
        <v>2.4502491083193609</v>
      </c>
      <c r="V746" s="41">
        <f t="shared" si="119"/>
        <v>2.2979389186868393</v>
      </c>
      <c r="W746" s="43">
        <f t="shared" si="120"/>
        <v>1.0358298252528282</v>
      </c>
      <c r="X746" s="43" t="e">
        <f t="shared" si="121"/>
        <v>#NUM!</v>
      </c>
    </row>
    <row r="747" spans="1:24" ht="14.25" customHeight="1">
      <c r="A747" s="46"/>
      <c r="B747" s="8">
        <v>5</v>
      </c>
      <c r="C747" s="8">
        <f t="shared" si="122"/>
        <v>2.5</v>
      </c>
      <c r="D747" s="16" t="s">
        <v>25</v>
      </c>
      <c r="E747" s="12" t="s">
        <v>33</v>
      </c>
      <c r="F747" s="17" t="s">
        <v>34</v>
      </c>
      <c r="G747" s="17" t="s">
        <v>37</v>
      </c>
      <c r="H747" s="17" t="s">
        <v>29</v>
      </c>
      <c r="I747" s="17" t="s">
        <v>36</v>
      </c>
      <c r="J747" s="8">
        <v>1.0329999999999999</v>
      </c>
      <c r="K747" s="8">
        <v>1.319</v>
      </c>
      <c r="L747" s="8">
        <f t="shared" si="105"/>
        <v>27.686350435624401</v>
      </c>
      <c r="M747" s="9">
        <v>28.2</v>
      </c>
      <c r="N747" s="9">
        <v>35.1</v>
      </c>
      <c r="O747" s="10">
        <f t="shared" si="114"/>
        <v>24.468085106382986</v>
      </c>
      <c r="P747" s="11">
        <v>1.0860000000000001</v>
      </c>
      <c r="Q747" s="11">
        <v>0.745</v>
      </c>
      <c r="R747" s="33">
        <f t="shared" si="123"/>
        <v>-31.399631675874772</v>
      </c>
      <c r="S747" s="37">
        <f t="shared" si="116"/>
        <v>1.0141003215196205</v>
      </c>
      <c r="T747" s="37">
        <f t="shared" si="117"/>
        <v>2.4422657116094224</v>
      </c>
      <c r="U747" s="42">
        <f t="shared" si="118"/>
        <v>2.4502491083193609</v>
      </c>
      <c r="V747" s="41">
        <f t="shared" si="119"/>
        <v>2.3885999824178943</v>
      </c>
      <c r="W747" s="43">
        <f t="shared" si="120"/>
        <v>1.0358298252528282</v>
      </c>
      <c r="X747" s="43" t="e">
        <f t="shared" si="121"/>
        <v>#NUM!</v>
      </c>
    </row>
    <row r="748" spans="1:24" ht="14.25" customHeight="1">
      <c r="A748" s="49"/>
      <c r="B748" s="8">
        <v>5</v>
      </c>
      <c r="C748" s="8">
        <f t="shared" si="122"/>
        <v>2.5</v>
      </c>
      <c r="D748" s="16" t="s">
        <v>25</v>
      </c>
      <c r="E748" s="12" t="s">
        <v>33</v>
      </c>
      <c r="F748" s="17" t="s">
        <v>34</v>
      </c>
      <c r="G748" s="17" t="s">
        <v>37</v>
      </c>
      <c r="H748" s="17" t="s">
        <v>29</v>
      </c>
      <c r="I748" s="17" t="s">
        <v>36</v>
      </c>
      <c r="J748" s="8">
        <v>1.0329999999999999</v>
      </c>
      <c r="K748" s="8">
        <v>1.278</v>
      </c>
      <c r="L748" s="8">
        <f t="shared" si="105"/>
        <v>23.717328170377552</v>
      </c>
      <c r="M748" s="9">
        <v>28.2</v>
      </c>
      <c r="N748" s="9">
        <v>34.299999999999997</v>
      </c>
      <c r="O748" s="10">
        <f t="shared" si="114"/>
        <v>21.631205673758856</v>
      </c>
      <c r="P748" s="11">
        <v>1.0860000000000001</v>
      </c>
      <c r="Q748" s="11">
        <v>0.76300000000000001</v>
      </c>
      <c r="R748" s="33">
        <f t="shared" si="123"/>
        <v>-29.742173112338861</v>
      </c>
      <c r="S748" s="37">
        <f t="shared" si="116"/>
        <v>1.0141003215196205</v>
      </c>
      <c r="T748" s="37">
        <f t="shared" si="117"/>
        <v>2.3750657628449119</v>
      </c>
      <c r="U748" s="42">
        <f t="shared" si="118"/>
        <v>2.4502491083193609</v>
      </c>
      <c r="V748" s="41">
        <f t="shared" si="119"/>
        <v>2.3350807266914058</v>
      </c>
      <c r="W748" s="43">
        <f t="shared" si="120"/>
        <v>1.0358298252528282</v>
      </c>
      <c r="X748" s="43" t="e">
        <f t="shared" si="121"/>
        <v>#NUM!</v>
      </c>
    </row>
    <row r="749" spans="1:24" ht="14.25" customHeight="1">
      <c r="A749" s="49"/>
      <c r="B749" s="8">
        <v>5</v>
      </c>
      <c r="C749" s="8">
        <f t="shared" si="122"/>
        <v>2.5</v>
      </c>
      <c r="D749" s="16" t="s">
        <v>25</v>
      </c>
      <c r="E749" s="12" t="s">
        <v>33</v>
      </c>
      <c r="F749" s="17" t="s">
        <v>34</v>
      </c>
      <c r="G749" s="17" t="s">
        <v>35</v>
      </c>
      <c r="H749" s="17" t="s">
        <v>29</v>
      </c>
      <c r="I749" s="17" t="s">
        <v>36</v>
      </c>
      <c r="J749" s="8">
        <v>1.0329999999999999</v>
      </c>
      <c r="K749" s="8">
        <v>1.3280000000000001</v>
      </c>
      <c r="L749" s="8">
        <f t="shared" si="105"/>
        <v>28.557599225556647</v>
      </c>
      <c r="M749" s="9">
        <v>28.2</v>
      </c>
      <c r="N749" s="9">
        <v>35.1</v>
      </c>
      <c r="O749" s="10">
        <f t="shared" si="114"/>
        <v>24.468085106382986</v>
      </c>
      <c r="P749" s="11">
        <v>1.0860000000000001</v>
      </c>
      <c r="Q749" s="11">
        <v>0.71399999999999997</v>
      </c>
      <c r="R749" s="33">
        <f t="shared" si="123"/>
        <v>-34.254143646408849</v>
      </c>
      <c r="S749" s="37">
        <f t="shared" si="116"/>
        <v>1.0141003215196205</v>
      </c>
      <c r="T749" s="37">
        <f t="shared" si="117"/>
        <v>2.4557216944585427</v>
      </c>
      <c r="U749" s="42">
        <f t="shared" si="118"/>
        <v>2.4502491083193609</v>
      </c>
      <c r="V749" s="41">
        <f t="shared" si="119"/>
        <v>2.3885999824178943</v>
      </c>
      <c r="W749" s="43">
        <f t="shared" si="120"/>
        <v>1.0358298252528282</v>
      </c>
      <c r="X749" s="43" t="e">
        <f t="shared" si="121"/>
        <v>#NUM!</v>
      </c>
    </row>
    <row r="750" spans="1:24" ht="14.25" customHeight="1">
      <c r="A750" s="49"/>
      <c r="B750" s="8">
        <v>5</v>
      </c>
      <c r="C750" s="8">
        <f t="shared" si="122"/>
        <v>2.5</v>
      </c>
      <c r="D750" s="16" t="s">
        <v>25</v>
      </c>
      <c r="E750" s="12" t="s">
        <v>33</v>
      </c>
      <c r="F750" s="17" t="s">
        <v>34</v>
      </c>
      <c r="G750" s="17" t="s">
        <v>35</v>
      </c>
      <c r="H750" s="17" t="s">
        <v>29</v>
      </c>
      <c r="I750" s="17" t="s">
        <v>36</v>
      </c>
      <c r="J750" s="8">
        <v>1.0329999999999999</v>
      </c>
      <c r="K750" s="8">
        <v>1.514</v>
      </c>
      <c r="L750" s="8">
        <f t="shared" si="105"/>
        <v>46.563407550822859</v>
      </c>
      <c r="M750" s="9">
        <v>28.2</v>
      </c>
      <c r="N750" s="9">
        <v>37.6</v>
      </c>
      <c r="O750" s="10">
        <f t="shared" si="114"/>
        <v>33.333333333333343</v>
      </c>
      <c r="P750" s="11">
        <v>1.0860000000000001</v>
      </c>
      <c r="Q750" s="11">
        <v>0.63200000000000001</v>
      </c>
      <c r="R750" s="33">
        <f t="shared" si="123"/>
        <v>-41.804788213627994</v>
      </c>
      <c r="S750" s="37">
        <f t="shared" si="116"/>
        <v>1.0141003215196205</v>
      </c>
      <c r="T750" s="37">
        <f t="shared" si="117"/>
        <v>2.6680447548542112</v>
      </c>
      <c r="U750" s="42">
        <f t="shared" si="118"/>
        <v>2.4502491083193609</v>
      </c>
      <c r="V750" s="41">
        <f t="shared" si="119"/>
        <v>2.5228787452803378</v>
      </c>
      <c r="W750" s="43">
        <f t="shared" si="120"/>
        <v>1.0358298252528282</v>
      </c>
      <c r="X750" s="43" t="e">
        <f t="shared" si="121"/>
        <v>#NUM!</v>
      </c>
    </row>
    <row r="751" spans="1:24" ht="14.25" customHeight="1">
      <c r="A751" s="50"/>
      <c r="B751" s="8">
        <v>5</v>
      </c>
      <c r="C751" s="8">
        <f t="shared" si="122"/>
        <v>2.5</v>
      </c>
      <c r="D751" s="16" t="s">
        <v>25</v>
      </c>
      <c r="E751" s="12" t="s">
        <v>33</v>
      </c>
      <c r="F751" s="17" t="s">
        <v>34</v>
      </c>
      <c r="G751" s="17" t="s">
        <v>35</v>
      </c>
      <c r="H751" s="17" t="s">
        <v>29</v>
      </c>
      <c r="I751" s="17" t="s">
        <v>36</v>
      </c>
      <c r="J751" s="8">
        <v>1.0329999999999999</v>
      </c>
      <c r="K751" s="8">
        <v>1.413</v>
      </c>
      <c r="L751" s="8">
        <f t="shared" si="105"/>
        <v>36.786060019361102</v>
      </c>
      <c r="M751" s="9">
        <v>28.2</v>
      </c>
      <c r="N751" s="9">
        <v>36.299999999999997</v>
      </c>
      <c r="O751" s="10">
        <f t="shared" si="114"/>
        <v>28.723404255319139</v>
      </c>
      <c r="P751" s="11">
        <v>1.0860000000000001</v>
      </c>
      <c r="Q751" s="11">
        <v>0.65200000000000002</v>
      </c>
      <c r="R751" s="33">
        <f t="shared" si="123"/>
        <v>-39.963167587476981</v>
      </c>
      <c r="S751" s="37">
        <f t="shared" si="116"/>
        <v>1.0141003215196205</v>
      </c>
      <c r="T751" s="37">
        <f t="shared" si="117"/>
        <v>2.5656832750971899</v>
      </c>
      <c r="U751" s="42">
        <f t="shared" si="118"/>
        <v>2.4502491083193609</v>
      </c>
      <c r="V751" s="41">
        <f t="shared" si="119"/>
        <v>2.4582359105592886</v>
      </c>
      <c r="W751" s="43">
        <f t="shared" si="120"/>
        <v>1.0358298252528282</v>
      </c>
      <c r="X751" s="43" t="e">
        <f t="shared" si="121"/>
        <v>#NUM!</v>
      </c>
    </row>
    <row r="752" spans="1:24" ht="14.25" customHeight="1">
      <c r="A752" s="45" t="s">
        <v>256</v>
      </c>
      <c r="B752" s="8">
        <v>5</v>
      </c>
      <c r="C752" s="8">
        <f t="shared" si="122"/>
        <v>2.5</v>
      </c>
      <c r="D752" s="16" t="s">
        <v>25</v>
      </c>
      <c r="E752" s="12" t="s">
        <v>257</v>
      </c>
      <c r="F752" s="17" t="s">
        <v>34</v>
      </c>
      <c r="G752" s="17" t="s">
        <v>37</v>
      </c>
      <c r="H752" s="17" t="s">
        <v>29</v>
      </c>
      <c r="I752" s="17" t="s">
        <v>161</v>
      </c>
      <c r="J752" s="8">
        <v>3.9409999999999998</v>
      </c>
      <c r="K752" s="8">
        <v>4.4960000000000004</v>
      </c>
      <c r="L752" s="8">
        <f t="shared" si="105"/>
        <v>14.082720121796513</v>
      </c>
      <c r="M752" s="9" t="s">
        <v>31</v>
      </c>
      <c r="N752" s="9" t="s">
        <v>31</v>
      </c>
      <c r="O752" s="9" t="s">
        <v>31</v>
      </c>
      <c r="P752" s="11" t="s">
        <v>31</v>
      </c>
      <c r="Q752" s="11" t="s">
        <v>31</v>
      </c>
      <c r="R752" s="11" t="s">
        <v>31</v>
      </c>
      <c r="S752" s="37">
        <f t="shared" si="116"/>
        <v>1.5956064348656029</v>
      </c>
      <c r="T752" s="37">
        <f t="shared" si="117"/>
        <v>2.1486865482570736</v>
      </c>
      <c r="U752" s="42" t="e">
        <f t="shared" si="118"/>
        <v>#VALUE!</v>
      </c>
      <c r="V752" s="41" t="e">
        <f t="shared" si="119"/>
        <v>#VALUE!</v>
      </c>
      <c r="W752" s="43" t="e">
        <f t="shared" si="120"/>
        <v>#VALUE!</v>
      </c>
      <c r="X752" s="43" t="e">
        <f t="shared" si="121"/>
        <v>#VALUE!</v>
      </c>
    </row>
    <row r="753" spans="1:24" ht="14.25" customHeight="1">
      <c r="A753" s="46"/>
      <c r="B753" s="8">
        <v>5</v>
      </c>
      <c r="C753" s="8">
        <f t="shared" si="122"/>
        <v>2.5</v>
      </c>
      <c r="D753" s="16" t="s">
        <v>25</v>
      </c>
      <c r="E753" s="12" t="s">
        <v>258</v>
      </c>
      <c r="F753" s="17" t="s">
        <v>34</v>
      </c>
      <c r="G753" s="17" t="s">
        <v>37</v>
      </c>
      <c r="H753" s="17" t="s">
        <v>29</v>
      </c>
      <c r="I753" s="17" t="s">
        <v>161</v>
      </c>
      <c r="J753" s="8">
        <v>3.9409999999999998</v>
      </c>
      <c r="K753" s="8">
        <v>4.9859999999999998</v>
      </c>
      <c r="L753" s="8">
        <f t="shared" si="105"/>
        <v>26.516112661760971</v>
      </c>
      <c r="M753" s="9" t="s">
        <v>31</v>
      </c>
      <c r="N753" s="9" t="s">
        <v>31</v>
      </c>
      <c r="O753" s="9" t="s">
        <v>31</v>
      </c>
      <c r="P753" s="11" t="s">
        <v>31</v>
      </c>
      <c r="Q753" s="11" t="s">
        <v>31</v>
      </c>
      <c r="R753" s="11" t="s">
        <v>31</v>
      </c>
      <c r="S753" s="37">
        <f t="shared" si="116"/>
        <v>1.5956064348656029</v>
      </c>
      <c r="T753" s="37">
        <f t="shared" si="117"/>
        <v>2.4235098555814698</v>
      </c>
      <c r="U753" s="42" t="e">
        <f t="shared" si="118"/>
        <v>#VALUE!</v>
      </c>
      <c r="V753" s="41" t="e">
        <f t="shared" si="119"/>
        <v>#VALUE!</v>
      </c>
      <c r="W753" s="43" t="e">
        <f t="shared" si="120"/>
        <v>#VALUE!</v>
      </c>
      <c r="X753" s="43" t="e">
        <f t="shared" si="121"/>
        <v>#VALUE!</v>
      </c>
    </row>
    <row r="754" spans="1:24" ht="14.25" customHeight="1">
      <c r="A754" s="46"/>
      <c r="B754" s="8">
        <v>5</v>
      </c>
      <c r="C754" s="8">
        <f t="shared" si="122"/>
        <v>2.5</v>
      </c>
      <c r="D754" s="16" t="s">
        <v>25</v>
      </c>
      <c r="E754" s="12" t="s">
        <v>259</v>
      </c>
      <c r="F754" s="17" t="s">
        <v>34</v>
      </c>
      <c r="G754" s="17" t="s">
        <v>37</v>
      </c>
      <c r="H754" s="17" t="s">
        <v>29</v>
      </c>
      <c r="I754" s="17" t="s">
        <v>161</v>
      </c>
      <c r="J754" s="8">
        <v>3.89</v>
      </c>
      <c r="K754" s="8">
        <v>4.01</v>
      </c>
      <c r="L754" s="8">
        <f t="shared" si="105"/>
        <v>3.0848329048843102</v>
      </c>
      <c r="M754" s="9" t="s">
        <v>31</v>
      </c>
      <c r="N754" s="9" t="s">
        <v>31</v>
      </c>
      <c r="O754" s="9" t="s">
        <v>31</v>
      </c>
      <c r="P754" s="11" t="s">
        <v>31</v>
      </c>
      <c r="Q754" s="11" t="s">
        <v>31</v>
      </c>
      <c r="R754" s="11" t="s">
        <v>31</v>
      </c>
      <c r="S754" s="37">
        <f t="shared" si="116"/>
        <v>1.5899496013257077</v>
      </c>
      <c r="T754" s="37">
        <f t="shared" si="117"/>
        <v>1.4892316447219158</v>
      </c>
      <c r="U754" s="42" t="e">
        <f t="shared" si="118"/>
        <v>#VALUE!</v>
      </c>
      <c r="V754" s="41" t="e">
        <f t="shared" si="119"/>
        <v>#VALUE!</v>
      </c>
      <c r="W754" s="43" t="e">
        <f t="shared" si="120"/>
        <v>#VALUE!</v>
      </c>
      <c r="X754" s="43" t="e">
        <f t="shared" si="121"/>
        <v>#VALUE!</v>
      </c>
    </row>
    <row r="755" spans="1:24" ht="14.25" customHeight="1">
      <c r="A755" s="46"/>
      <c r="B755" s="8">
        <v>5</v>
      </c>
      <c r="C755" s="8">
        <f t="shared" si="122"/>
        <v>2.5</v>
      </c>
      <c r="D755" s="16" t="s">
        <v>25</v>
      </c>
      <c r="E755" s="12" t="s">
        <v>260</v>
      </c>
      <c r="F755" s="17" t="s">
        <v>34</v>
      </c>
      <c r="G755" s="17" t="s">
        <v>37</v>
      </c>
      <c r="H755" s="17" t="s">
        <v>29</v>
      </c>
      <c r="I755" s="17" t="s">
        <v>161</v>
      </c>
      <c r="J755" s="8">
        <v>3.89</v>
      </c>
      <c r="K755" s="8">
        <v>4.12</v>
      </c>
      <c r="L755" s="8">
        <f t="shared" si="105"/>
        <v>5.912596401028277</v>
      </c>
      <c r="M755" s="9" t="s">
        <v>31</v>
      </c>
      <c r="N755" s="9" t="s">
        <v>31</v>
      </c>
      <c r="O755" s="9" t="s">
        <v>31</v>
      </c>
      <c r="P755" s="11" t="s">
        <v>31</v>
      </c>
      <c r="Q755" s="11" t="s">
        <v>31</v>
      </c>
      <c r="R755" s="11" t="s">
        <v>31</v>
      </c>
      <c r="S755" s="37">
        <f t="shared" si="116"/>
        <v>1.5899496013257077</v>
      </c>
      <c r="T755" s="37">
        <f t="shared" si="117"/>
        <v>1.7717782346918851</v>
      </c>
      <c r="U755" s="42" t="e">
        <f t="shared" si="118"/>
        <v>#VALUE!</v>
      </c>
      <c r="V755" s="41" t="e">
        <f t="shared" si="119"/>
        <v>#VALUE!</v>
      </c>
      <c r="W755" s="43" t="e">
        <f t="shared" si="120"/>
        <v>#VALUE!</v>
      </c>
      <c r="X755" s="43" t="e">
        <f t="shared" si="121"/>
        <v>#VALUE!</v>
      </c>
    </row>
    <row r="756" spans="1:24" ht="14.25" customHeight="1">
      <c r="A756" s="49"/>
      <c r="B756" s="8">
        <v>5</v>
      </c>
      <c r="C756" s="8">
        <f t="shared" si="122"/>
        <v>2.5</v>
      </c>
      <c r="D756" s="16" t="s">
        <v>25</v>
      </c>
      <c r="E756" s="12" t="s">
        <v>261</v>
      </c>
      <c r="F756" s="17" t="s">
        <v>34</v>
      </c>
      <c r="G756" s="17" t="s">
        <v>37</v>
      </c>
      <c r="H756" s="17" t="s">
        <v>29</v>
      </c>
      <c r="I756" s="17" t="s">
        <v>161</v>
      </c>
      <c r="J756" s="8">
        <v>3.19</v>
      </c>
      <c r="K756" s="8">
        <v>3.6659999999999999</v>
      </c>
      <c r="L756" s="8">
        <f t="shared" si="105"/>
        <v>14.921630094043886</v>
      </c>
      <c r="M756" s="9" t="s">
        <v>31</v>
      </c>
      <c r="N756" s="9" t="s">
        <v>31</v>
      </c>
      <c r="O756" s="9" t="s">
        <v>31</v>
      </c>
      <c r="P756" s="11" t="s">
        <v>31</v>
      </c>
      <c r="Q756" s="11" t="s">
        <v>31</v>
      </c>
      <c r="R756" s="11" t="s">
        <v>31</v>
      </c>
      <c r="S756" s="37">
        <f t="shared" si="116"/>
        <v>1.503790683057181</v>
      </c>
      <c r="T756" s="37">
        <f t="shared" si="117"/>
        <v>2.1738162696633121</v>
      </c>
      <c r="U756" s="42" t="e">
        <f t="shared" si="118"/>
        <v>#VALUE!</v>
      </c>
      <c r="V756" s="41" t="e">
        <f t="shared" si="119"/>
        <v>#VALUE!</v>
      </c>
      <c r="W756" s="43" t="e">
        <f t="shared" si="120"/>
        <v>#VALUE!</v>
      </c>
      <c r="X756" s="43" t="e">
        <f t="shared" si="121"/>
        <v>#VALUE!</v>
      </c>
    </row>
    <row r="757" spans="1:24" ht="14.25" customHeight="1">
      <c r="A757" s="49"/>
      <c r="B757" s="8">
        <v>5</v>
      </c>
      <c r="C757" s="8">
        <f t="shared" si="122"/>
        <v>2.5</v>
      </c>
      <c r="D757" s="16" t="s">
        <v>25</v>
      </c>
      <c r="E757" s="44" t="s">
        <v>262</v>
      </c>
      <c r="F757" s="17" t="s">
        <v>34</v>
      </c>
      <c r="G757" s="17" t="s">
        <v>37</v>
      </c>
      <c r="H757" s="17" t="s">
        <v>29</v>
      </c>
      <c r="I757" s="17" t="s">
        <v>161</v>
      </c>
      <c r="J757" s="8">
        <v>3.19</v>
      </c>
      <c r="K757" s="8">
        <v>3.7519999999999998</v>
      </c>
      <c r="L757" s="8">
        <f t="shared" si="105"/>
        <v>17.617554858934163</v>
      </c>
      <c r="M757" s="9" t="s">
        <v>31</v>
      </c>
      <c r="N757" s="9" t="s">
        <v>31</v>
      </c>
      <c r="O757" s="9" t="s">
        <v>31</v>
      </c>
      <c r="P757" s="11" t="s">
        <v>31</v>
      </c>
      <c r="Q757" s="11" t="s">
        <v>31</v>
      </c>
      <c r="R757" s="11" t="s">
        <v>31</v>
      </c>
      <c r="S757" s="37">
        <f t="shared" si="116"/>
        <v>1.503790683057181</v>
      </c>
      <c r="T757" s="37">
        <f t="shared" si="117"/>
        <v>2.2459456325118801</v>
      </c>
      <c r="U757" s="42" t="e">
        <f t="shared" si="118"/>
        <v>#VALUE!</v>
      </c>
      <c r="V757" s="41" t="e">
        <f t="shared" si="119"/>
        <v>#VALUE!</v>
      </c>
      <c r="W757" s="43" t="e">
        <f t="shared" si="120"/>
        <v>#VALUE!</v>
      </c>
      <c r="X757" s="43" t="e">
        <f t="shared" si="121"/>
        <v>#VALUE!</v>
      </c>
    </row>
    <row r="758" spans="1:24" ht="14.25" customHeight="1">
      <c r="A758" s="49"/>
      <c r="B758" s="8">
        <v>5</v>
      </c>
      <c r="C758" s="8">
        <f t="shared" si="122"/>
        <v>2.5</v>
      </c>
      <c r="D758" s="16" t="s">
        <v>25</v>
      </c>
      <c r="E758" s="12" t="s">
        <v>263</v>
      </c>
      <c r="F758" s="17" t="s">
        <v>34</v>
      </c>
      <c r="G758" s="17" t="s">
        <v>37</v>
      </c>
      <c r="H758" s="17" t="s">
        <v>29</v>
      </c>
      <c r="I758" s="17" t="s">
        <v>161</v>
      </c>
      <c r="J758" s="8">
        <v>3.9359999999999999</v>
      </c>
      <c r="K758" s="8">
        <v>4.1130000000000004</v>
      </c>
      <c r="L758" s="8">
        <f t="shared" si="105"/>
        <v>4.4969512195122077</v>
      </c>
      <c r="M758" s="9" t="s">
        <v>31</v>
      </c>
      <c r="N758" s="9" t="s">
        <v>31</v>
      </c>
      <c r="O758" s="9" t="s">
        <v>31</v>
      </c>
      <c r="P758" s="11" t="s">
        <v>31</v>
      </c>
      <c r="Q758" s="11" t="s">
        <v>31</v>
      </c>
      <c r="R758" s="11" t="s">
        <v>31</v>
      </c>
      <c r="S758" s="37">
        <f t="shared" si="116"/>
        <v>1.5950550897593039</v>
      </c>
      <c r="T758" s="37">
        <f t="shared" si="117"/>
        <v>1.6529181766025038</v>
      </c>
      <c r="U758" s="42" t="e">
        <f t="shared" si="118"/>
        <v>#VALUE!</v>
      </c>
      <c r="V758" s="41" t="e">
        <f t="shared" si="119"/>
        <v>#VALUE!</v>
      </c>
      <c r="W758" s="43" t="e">
        <f t="shared" si="120"/>
        <v>#VALUE!</v>
      </c>
      <c r="X758" s="43" t="e">
        <f t="shared" si="121"/>
        <v>#VALUE!</v>
      </c>
    </row>
    <row r="759" spans="1:24" ht="14.25" customHeight="1">
      <c r="A759" s="50"/>
      <c r="B759" s="8">
        <v>5</v>
      </c>
      <c r="C759" s="8">
        <f t="shared" si="122"/>
        <v>2.5</v>
      </c>
      <c r="D759" s="16" t="s">
        <v>25</v>
      </c>
      <c r="E759" s="44" t="s">
        <v>264</v>
      </c>
      <c r="F759" s="17" t="s">
        <v>34</v>
      </c>
      <c r="G759" s="17" t="s">
        <v>37</v>
      </c>
      <c r="H759" s="17" t="s">
        <v>29</v>
      </c>
      <c r="I759" s="17" t="s">
        <v>161</v>
      </c>
      <c r="J759" s="8">
        <v>3.9359999999999999</v>
      </c>
      <c r="K759" s="8">
        <v>4.4550000000000001</v>
      </c>
      <c r="L759" s="8">
        <f t="shared" si="105"/>
        <v>13.185975609756101</v>
      </c>
      <c r="M759" s="9" t="s">
        <v>31</v>
      </c>
      <c r="N759" s="9" t="s">
        <v>31</v>
      </c>
      <c r="O759" s="9" t="s">
        <v>31</v>
      </c>
      <c r="P759" s="11" t="s">
        <v>31</v>
      </c>
      <c r="Q759" s="11" t="s">
        <v>31</v>
      </c>
      <c r="R759" s="11" t="s">
        <v>31</v>
      </c>
      <c r="S759" s="37">
        <f t="shared" si="116"/>
        <v>1.5950550897593039</v>
      </c>
      <c r="T759" s="37">
        <f t="shared" si="117"/>
        <v>2.1201122680891542</v>
      </c>
      <c r="U759" s="42" t="e">
        <f t="shared" si="118"/>
        <v>#VALUE!</v>
      </c>
      <c r="V759" s="41" t="e">
        <f t="shared" si="119"/>
        <v>#VALUE!</v>
      </c>
      <c r="W759" s="43" t="e">
        <f t="shared" si="120"/>
        <v>#VALUE!</v>
      </c>
      <c r="X759" s="43" t="e">
        <f t="shared" si="121"/>
        <v>#VALUE!</v>
      </c>
    </row>
    <row r="760" spans="1:24" ht="14.25" customHeight="1">
      <c r="A760" s="45" t="s">
        <v>265</v>
      </c>
      <c r="B760" s="8">
        <v>2.5</v>
      </c>
      <c r="C760" s="8">
        <f t="shared" si="122"/>
        <v>1.25</v>
      </c>
      <c r="D760" s="16" t="s">
        <v>42</v>
      </c>
      <c r="E760" s="12" t="s">
        <v>43</v>
      </c>
      <c r="F760" s="17" t="s">
        <v>34</v>
      </c>
      <c r="G760" s="17" t="s">
        <v>35</v>
      </c>
      <c r="H760" s="17" t="s">
        <v>29</v>
      </c>
      <c r="I760" s="17" t="s">
        <v>36</v>
      </c>
      <c r="J760" s="8">
        <v>2.1</v>
      </c>
      <c r="K760" s="8">
        <v>2.4</v>
      </c>
      <c r="L760" s="8">
        <f t="shared" si="105"/>
        <v>14.285714285714276</v>
      </c>
      <c r="M760" s="9">
        <v>36</v>
      </c>
      <c r="N760" s="9">
        <v>38</v>
      </c>
      <c r="O760" s="10">
        <f t="shared" ref="O760:O840" si="124">(N760-M760)/M760*100</f>
        <v>5.5555555555555554</v>
      </c>
      <c r="P760" s="11" t="s">
        <v>31</v>
      </c>
      <c r="Q760" s="11" t="s">
        <v>31</v>
      </c>
      <c r="R760" s="11" t="s">
        <v>31</v>
      </c>
      <c r="S760" s="37">
        <f t="shared" si="116"/>
        <v>1.3222192947339193</v>
      </c>
      <c r="T760" s="37">
        <f t="shared" si="117"/>
        <v>2.1549019599857426</v>
      </c>
      <c r="U760" s="42">
        <f t="shared" si="118"/>
        <v>2.5563025007672873</v>
      </c>
      <c r="V760" s="41">
        <f t="shared" si="119"/>
        <v>1.744727494896694</v>
      </c>
      <c r="W760" s="43" t="e">
        <f t="shared" si="120"/>
        <v>#VALUE!</v>
      </c>
      <c r="X760" s="43" t="e">
        <f t="shared" si="121"/>
        <v>#VALUE!</v>
      </c>
    </row>
    <row r="761" spans="1:24" ht="14.25" customHeight="1">
      <c r="A761" s="49"/>
      <c r="B761" s="8">
        <v>5</v>
      </c>
      <c r="C761" s="8">
        <f t="shared" si="122"/>
        <v>2.5</v>
      </c>
      <c r="D761" s="16" t="s">
        <v>42</v>
      </c>
      <c r="E761" s="12" t="s">
        <v>43</v>
      </c>
      <c r="F761" s="17" t="s">
        <v>34</v>
      </c>
      <c r="G761" s="17" t="s">
        <v>35</v>
      </c>
      <c r="H761" s="17" t="s">
        <v>29</v>
      </c>
      <c r="I761" s="17" t="s">
        <v>36</v>
      </c>
      <c r="J761" s="8">
        <v>2.1</v>
      </c>
      <c r="K761" s="8">
        <v>2.73</v>
      </c>
      <c r="L761" s="8">
        <f t="shared" si="105"/>
        <v>29.999999999999993</v>
      </c>
      <c r="M761" s="9">
        <v>36</v>
      </c>
      <c r="N761" s="9">
        <v>24</v>
      </c>
      <c r="O761" s="10">
        <f t="shared" si="124"/>
        <v>-33.333333333333329</v>
      </c>
      <c r="P761" s="11" t="s">
        <v>31</v>
      </c>
      <c r="Q761" s="11" t="s">
        <v>31</v>
      </c>
      <c r="R761" s="11" t="s">
        <v>31</v>
      </c>
      <c r="S761" s="37">
        <f t="shared" si="116"/>
        <v>1.3222192947339193</v>
      </c>
      <c r="T761" s="37">
        <f t="shared" si="117"/>
        <v>2.4771212547196622</v>
      </c>
      <c r="U761" s="42">
        <f t="shared" si="118"/>
        <v>2.5563025007672873</v>
      </c>
      <c r="V761" s="41" t="e">
        <f t="shared" si="119"/>
        <v>#NUM!</v>
      </c>
      <c r="W761" s="43" t="e">
        <f t="shared" si="120"/>
        <v>#VALUE!</v>
      </c>
      <c r="X761" s="43" t="e">
        <f t="shared" si="121"/>
        <v>#VALUE!</v>
      </c>
    </row>
    <row r="762" spans="1:24" ht="14.25" customHeight="1">
      <c r="A762" s="49"/>
      <c r="B762" s="8">
        <v>10</v>
      </c>
      <c r="C762" s="8">
        <f t="shared" si="122"/>
        <v>5</v>
      </c>
      <c r="D762" s="16" t="s">
        <v>42</v>
      </c>
      <c r="E762" s="12" t="s">
        <v>43</v>
      </c>
      <c r="F762" s="17" t="s">
        <v>34</v>
      </c>
      <c r="G762" s="17" t="s">
        <v>35</v>
      </c>
      <c r="H762" s="17" t="s">
        <v>29</v>
      </c>
      <c r="I762" s="17" t="s">
        <v>36</v>
      </c>
      <c r="J762" s="8">
        <v>2.1</v>
      </c>
      <c r="K762" s="8">
        <v>3.95</v>
      </c>
      <c r="L762" s="8">
        <f t="shared" si="105"/>
        <v>88.095238095238088</v>
      </c>
      <c r="M762" s="9">
        <v>36</v>
      </c>
      <c r="N762" s="9">
        <v>20</v>
      </c>
      <c r="O762" s="10">
        <f t="shared" si="124"/>
        <v>-44.444444444444443</v>
      </c>
      <c r="P762" s="11" t="s">
        <v>31</v>
      </c>
      <c r="Q762" s="11" t="s">
        <v>31</v>
      </c>
      <c r="R762" s="11" t="s">
        <v>31</v>
      </c>
      <c r="S762" s="37">
        <f t="shared" si="116"/>
        <v>1.3222192947339193</v>
      </c>
      <c r="T762" s="37">
        <f t="shared" si="117"/>
        <v>2.9449524336690946</v>
      </c>
      <c r="U762" s="42">
        <f t="shared" si="118"/>
        <v>2.5563025007672873</v>
      </c>
      <c r="V762" s="41" t="e">
        <f t="shared" si="119"/>
        <v>#NUM!</v>
      </c>
      <c r="W762" s="43" t="e">
        <f t="shared" si="120"/>
        <v>#VALUE!</v>
      </c>
      <c r="X762" s="43" t="e">
        <f t="shared" si="121"/>
        <v>#VALUE!</v>
      </c>
    </row>
    <row r="763" spans="1:24" ht="14.25" customHeight="1">
      <c r="A763" s="50"/>
      <c r="B763" s="8">
        <v>5</v>
      </c>
      <c r="C763" s="8">
        <f t="shared" si="122"/>
        <v>2.5</v>
      </c>
      <c r="D763" s="16" t="s">
        <v>42</v>
      </c>
      <c r="E763" s="12" t="s">
        <v>43</v>
      </c>
      <c r="F763" s="17" t="s">
        <v>34</v>
      </c>
      <c r="G763" s="17" t="s">
        <v>35</v>
      </c>
      <c r="H763" s="17" t="s">
        <v>29</v>
      </c>
      <c r="I763" s="17" t="s">
        <v>36</v>
      </c>
      <c r="J763" s="8">
        <v>3.2</v>
      </c>
      <c r="K763" s="8">
        <v>3.95</v>
      </c>
      <c r="L763" s="8">
        <f t="shared" si="105"/>
        <v>23.4375</v>
      </c>
      <c r="M763" s="9" t="s">
        <v>31</v>
      </c>
      <c r="N763" s="9" t="s">
        <v>31</v>
      </c>
      <c r="O763" s="9" t="s">
        <v>31</v>
      </c>
      <c r="P763" s="11" t="s">
        <v>31</v>
      </c>
      <c r="Q763" s="11" t="s">
        <v>31</v>
      </c>
      <c r="R763" s="11" t="s">
        <v>31</v>
      </c>
      <c r="S763" s="37">
        <f t="shared" si="116"/>
        <v>1.505149978319906</v>
      </c>
      <c r="T763" s="37">
        <f t="shared" si="117"/>
        <v>2.3699112850717943</v>
      </c>
      <c r="U763" s="42" t="e">
        <f t="shared" si="118"/>
        <v>#VALUE!</v>
      </c>
      <c r="V763" s="41" t="e">
        <f t="shared" si="119"/>
        <v>#VALUE!</v>
      </c>
      <c r="W763" s="43" t="e">
        <f t="shared" si="120"/>
        <v>#VALUE!</v>
      </c>
      <c r="X763" s="43" t="e">
        <f t="shared" si="121"/>
        <v>#VALUE!</v>
      </c>
    </row>
    <row r="764" spans="1:24" ht="14.25" customHeight="1">
      <c r="A764" s="48" t="s">
        <v>266</v>
      </c>
      <c r="B764" s="8">
        <v>3</v>
      </c>
      <c r="C764" s="8">
        <f t="shared" si="122"/>
        <v>1.5</v>
      </c>
      <c r="D764" s="16" t="s">
        <v>25</v>
      </c>
      <c r="E764" s="12" t="s">
        <v>234</v>
      </c>
      <c r="F764" s="17" t="s">
        <v>34</v>
      </c>
      <c r="G764" s="17" t="s">
        <v>214</v>
      </c>
      <c r="H764" s="17" t="s">
        <v>29</v>
      </c>
      <c r="I764" s="17" t="s">
        <v>46</v>
      </c>
      <c r="J764" s="8">
        <v>1.4</v>
      </c>
      <c r="K764" s="8">
        <v>1.7</v>
      </c>
      <c r="L764" s="8">
        <f t="shared" si="105"/>
        <v>21.428571428571434</v>
      </c>
      <c r="M764" s="9">
        <v>60.7</v>
      </c>
      <c r="N764" s="9">
        <v>65.599999999999994</v>
      </c>
      <c r="O764" s="10">
        <f t="shared" si="124"/>
        <v>8.0724876441515505</v>
      </c>
      <c r="P764" s="11" t="s">
        <v>31</v>
      </c>
      <c r="Q764" s="11" t="s">
        <v>31</v>
      </c>
      <c r="R764" s="11" t="s">
        <v>31</v>
      </c>
      <c r="S764" s="37">
        <f t="shared" si="116"/>
        <v>1.146128035678238</v>
      </c>
      <c r="T764" s="37">
        <f t="shared" si="117"/>
        <v>2.3309932190414244</v>
      </c>
      <c r="U764" s="42">
        <f t="shared" si="118"/>
        <v>2.7831886910752575</v>
      </c>
      <c r="V764" s="41">
        <f t="shared" si="119"/>
        <v>1.9070073889532553</v>
      </c>
      <c r="W764" s="43" t="e">
        <f t="shared" si="120"/>
        <v>#VALUE!</v>
      </c>
      <c r="X764" s="43" t="e">
        <f t="shared" si="121"/>
        <v>#VALUE!</v>
      </c>
    </row>
    <row r="765" spans="1:24" ht="14.25" customHeight="1">
      <c r="A765" s="54"/>
      <c r="B765" s="8">
        <v>9</v>
      </c>
      <c r="C765" s="8">
        <f t="shared" si="122"/>
        <v>4.5</v>
      </c>
      <c r="D765" s="16" t="s">
        <v>25</v>
      </c>
      <c r="E765" s="12" t="s">
        <v>234</v>
      </c>
      <c r="F765" s="17" t="s">
        <v>34</v>
      </c>
      <c r="G765" s="17" t="s">
        <v>214</v>
      </c>
      <c r="H765" s="17" t="s">
        <v>29</v>
      </c>
      <c r="I765" s="17" t="s">
        <v>46</v>
      </c>
      <c r="J765" s="8">
        <v>1.4</v>
      </c>
      <c r="K765" s="8">
        <v>2</v>
      </c>
      <c r="L765" s="8">
        <f t="shared" si="105"/>
        <v>42.857142857142868</v>
      </c>
      <c r="M765" s="9">
        <v>60.7</v>
      </c>
      <c r="N765" s="9">
        <v>67.900000000000006</v>
      </c>
      <c r="O765" s="10">
        <f t="shared" si="124"/>
        <v>11.861614497528834</v>
      </c>
      <c r="P765" s="11" t="s">
        <v>31</v>
      </c>
      <c r="Q765" s="11" t="s">
        <v>31</v>
      </c>
      <c r="R765" s="11" t="s">
        <v>31</v>
      </c>
      <c r="S765" s="37">
        <f t="shared" si="116"/>
        <v>1.146128035678238</v>
      </c>
      <c r="T765" s="37">
        <f t="shared" si="117"/>
        <v>2.6320232147054057</v>
      </c>
      <c r="U765" s="42">
        <f t="shared" si="118"/>
        <v>2.7831886910752575</v>
      </c>
      <c r="V765" s="41">
        <f t="shared" si="119"/>
        <v>2.0741438053560111</v>
      </c>
      <c r="W765" s="43" t="e">
        <f t="shared" si="120"/>
        <v>#VALUE!</v>
      </c>
      <c r="X765" s="43" t="e">
        <f t="shared" si="121"/>
        <v>#VALUE!</v>
      </c>
    </row>
    <row r="766" spans="1:24" ht="14.25" customHeight="1">
      <c r="A766" s="54"/>
      <c r="B766" s="8">
        <v>3</v>
      </c>
      <c r="C766" s="8">
        <f t="shared" si="122"/>
        <v>1.5</v>
      </c>
      <c r="D766" s="16" t="s">
        <v>25</v>
      </c>
      <c r="E766" s="12" t="s">
        <v>234</v>
      </c>
      <c r="F766" s="17" t="s">
        <v>34</v>
      </c>
      <c r="G766" s="17" t="s">
        <v>214</v>
      </c>
      <c r="H766" s="17" t="s">
        <v>29</v>
      </c>
      <c r="I766" s="17" t="s">
        <v>46</v>
      </c>
      <c r="J766" s="8">
        <v>1.4</v>
      </c>
      <c r="K766" s="8">
        <v>1.6</v>
      </c>
      <c r="L766" s="8">
        <f t="shared" si="105"/>
        <v>14.285714285714299</v>
      </c>
      <c r="M766" s="9">
        <v>60.7</v>
      </c>
      <c r="N766" s="9">
        <v>64.400000000000006</v>
      </c>
      <c r="O766" s="10">
        <f t="shared" si="124"/>
        <v>6.0955518945634317</v>
      </c>
      <c r="P766" s="11" t="s">
        <v>31</v>
      </c>
      <c r="Q766" s="11" t="s">
        <v>31</v>
      </c>
      <c r="R766" s="11" t="s">
        <v>31</v>
      </c>
      <c r="S766" s="37">
        <f t="shared" si="116"/>
        <v>1.146128035678238</v>
      </c>
      <c r="T766" s="37">
        <f t="shared" si="117"/>
        <v>2.1549019599857435</v>
      </c>
      <c r="U766" s="42">
        <f t="shared" si="118"/>
        <v>2.7831886910752575</v>
      </c>
      <c r="V766" s="41">
        <f t="shared" si="119"/>
        <v>1.7850130329917377</v>
      </c>
      <c r="W766" s="43" t="e">
        <f t="shared" si="120"/>
        <v>#VALUE!</v>
      </c>
      <c r="X766" s="43" t="e">
        <f t="shared" si="121"/>
        <v>#VALUE!</v>
      </c>
    </row>
    <row r="767" spans="1:24" ht="14.25" customHeight="1">
      <c r="A767" s="54"/>
      <c r="B767" s="8">
        <v>9</v>
      </c>
      <c r="C767" s="8">
        <f t="shared" si="122"/>
        <v>4.5</v>
      </c>
      <c r="D767" s="16" t="s">
        <v>25</v>
      </c>
      <c r="E767" s="12" t="s">
        <v>234</v>
      </c>
      <c r="F767" s="17" t="s">
        <v>34</v>
      </c>
      <c r="G767" s="17" t="s">
        <v>214</v>
      </c>
      <c r="H767" s="17" t="s">
        <v>29</v>
      </c>
      <c r="I767" s="17" t="s">
        <v>46</v>
      </c>
      <c r="J767" s="8">
        <v>1.4</v>
      </c>
      <c r="K767" s="8">
        <v>2</v>
      </c>
      <c r="L767" s="8">
        <f t="shared" si="105"/>
        <v>42.857142857142868</v>
      </c>
      <c r="M767" s="9">
        <v>60.7</v>
      </c>
      <c r="N767" s="9">
        <v>68.5</v>
      </c>
      <c r="O767" s="10">
        <f t="shared" si="124"/>
        <v>12.850082372322893</v>
      </c>
      <c r="P767" s="11" t="s">
        <v>31</v>
      </c>
      <c r="Q767" s="11" t="s">
        <v>31</v>
      </c>
      <c r="R767" s="11" t="s">
        <v>31</v>
      </c>
      <c r="S767" s="37">
        <f t="shared" si="116"/>
        <v>1.146128035678238</v>
      </c>
      <c r="T767" s="37">
        <f t="shared" si="117"/>
        <v>2.6320232147054057</v>
      </c>
      <c r="U767" s="42">
        <f t="shared" si="118"/>
        <v>2.7831886910752575</v>
      </c>
      <c r="V767" s="41">
        <f t="shared" si="119"/>
        <v>2.1089059116152225</v>
      </c>
      <c r="W767" s="43" t="e">
        <f t="shared" si="120"/>
        <v>#VALUE!</v>
      </c>
      <c r="X767" s="43" t="e">
        <f t="shared" si="121"/>
        <v>#VALUE!</v>
      </c>
    </row>
    <row r="768" spans="1:24" ht="14.25" customHeight="1">
      <c r="A768" s="54"/>
      <c r="B768" s="8">
        <v>3</v>
      </c>
      <c r="C768" s="8">
        <f t="shared" si="122"/>
        <v>1.5</v>
      </c>
      <c r="D768" s="16" t="s">
        <v>25</v>
      </c>
      <c r="E768" s="12" t="s">
        <v>234</v>
      </c>
      <c r="F768" s="17" t="s">
        <v>34</v>
      </c>
      <c r="G768" s="17" t="s">
        <v>214</v>
      </c>
      <c r="H768" s="17" t="s">
        <v>29</v>
      </c>
      <c r="I768" s="17" t="s">
        <v>46</v>
      </c>
      <c r="J768" s="8">
        <v>1.4</v>
      </c>
      <c r="K768" s="8">
        <v>1.7</v>
      </c>
      <c r="L768" s="8">
        <f t="shared" si="105"/>
        <v>21.428571428571434</v>
      </c>
      <c r="M768" s="9">
        <v>60.7</v>
      </c>
      <c r="N768" s="9">
        <v>66.2</v>
      </c>
      <c r="O768" s="10">
        <f t="shared" si="124"/>
        <v>9.060955518945633</v>
      </c>
      <c r="P768" s="11" t="s">
        <v>31</v>
      </c>
      <c r="Q768" s="11" t="s">
        <v>31</v>
      </c>
      <c r="R768" s="11" t="s">
        <v>31</v>
      </c>
      <c r="S768" s="37">
        <f t="shared" si="116"/>
        <v>1.146128035678238</v>
      </c>
      <c r="T768" s="37">
        <f t="shared" si="117"/>
        <v>2.3309932190414244</v>
      </c>
      <c r="U768" s="42">
        <f t="shared" si="118"/>
        <v>2.7831886910752575</v>
      </c>
      <c r="V768" s="41">
        <f t="shared" si="119"/>
        <v>1.9571739984189862</v>
      </c>
      <c r="W768" s="43" t="e">
        <f t="shared" si="120"/>
        <v>#VALUE!</v>
      </c>
      <c r="X768" s="43" t="e">
        <f t="shared" si="121"/>
        <v>#VALUE!</v>
      </c>
    </row>
    <row r="769" spans="1:24" ht="14.25" customHeight="1">
      <c r="A769" s="54"/>
      <c r="B769" s="8">
        <v>9</v>
      </c>
      <c r="C769" s="8">
        <f t="shared" si="122"/>
        <v>4.5</v>
      </c>
      <c r="D769" s="16" t="s">
        <v>25</v>
      </c>
      <c r="E769" s="12" t="s">
        <v>234</v>
      </c>
      <c r="F769" s="17" t="s">
        <v>34</v>
      </c>
      <c r="G769" s="17" t="s">
        <v>214</v>
      </c>
      <c r="H769" s="17" t="s">
        <v>29</v>
      </c>
      <c r="I769" s="17" t="s">
        <v>46</v>
      </c>
      <c r="J769" s="8">
        <v>1.4</v>
      </c>
      <c r="K769" s="8">
        <v>2.2000000000000002</v>
      </c>
      <c r="L769" s="8">
        <f t="shared" si="105"/>
        <v>57.14285714285716</v>
      </c>
      <c r="M769" s="9">
        <v>60.7</v>
      </c>
      <c r="N769" s="9">
        <v>68.7</v>
      </c>
      <c r="O769" s="10">
        <f t="shared" si="124"/>
        <v>13.179571663920923</v>
      </c>
      <c r="P769" s="11" t="s">
        <v>31</v>
      </c>
      <c r="Q769" s="11" t="s">
        <v>31</v>
      </c>
      <c r="R769" s="11" t="s">
        <v>31</v>
      </c>
      <c r="S769" s="37">
        <f t="shared" si="116"/>
        <v>1.146128035678238</v>
      </c>
      <c r="T769" s="37">
        <f t="shared" si="117"/>
        <v>2.7569619513137056</v>
      </c>
      <c r="U769" s="42">
        <f t="shared" si="118"/>
        <v>2.7831886910752575</v>
      </c>
      <c r="V769" s="41">
        <f t="shared" si="119"/>
        <v>2.1199012959166859</v>
      </c>
      <c r="W769" s="43" t="e">
        <f t="shared" si="120"/>
        <v>#VALUE!</v>
      </c>
      <c r="X769" s="43" t="e">
        <f t="shared" si="121"/>
        <v>#VALUE!</v>
      </c>
    </row>
    <row r="770" spans="1:24" ht="14.25" customHeight="1">
      <c r="A770" s="54"/>
      <c r="B770" s="8">
        <v>3</v>
      </c>
      <c r="C770" s="8">
        <f t="shared" si="122"/>
        <v>1.5</v>
      </c>
      <c r="D770" s="16" t="s">
        <v>25</v>
      </c>
      <c r="E770" s="12" t="s">
        <v>234</v>
      </c>
      <c r="F770" s="17" t="s">
        <v>34</v>
      </c>
      <c r="G770" s="17" t="s">
        <v>214</v>
      </c>
      <c r="H770" s="17" t="s">
        <v>29</v>
      </c>
      <c r="I770" s="17" t="s">
        <v>46</v>
      </c>
      <c r="J770" s="8">
        <v>1.4</v>
      </c>
      <c r="K770" s="8">
        <v>1.5</v>
      </c>
      <c r="L770" s="8">
        <f t="shared" si="105"/>
        <v>7.1428571428571495</v>
      </c>
      <c r="M770" s="9">
        <v>60.7</v>
      </c>
      <c r="N770" s="9">
        <v>63.8</v>
      </c>
      <c r="O770" s="10">
        <f t="shared" si="124"/>
        <v>5.1070840197693474</v>
      </c>
      <c r="P770" s="11" t="s">
        <v>31</v>
      </c>
      <c r="Q770" s="11" t="s">
        <v>31</v>
      </c>
      <c r="R770" s="11" t="s">
        <v>31</v>
      </c>
      <c r="S770" s="37">
        <f t="shared" si="116"/>
        <v>1.146128035678238</v>
      </c>
      <c r="T770" s="37">
        <f t="shared" si="117"/>
        <v>1.8538719643217625</v>
      </c>
      <c r="U770" s="42">
        <f t="shared" si="118"/>
        <v>2.7831886910752575</v>
      </c>
      <c r="V770" s="41">
        <f t="shared" si="119"/>
        <v>1.7081730027590143</v>
      </c>
      <c r="W770" s="43" t="e">
        <f t="shared" si="120"/>
        <v>#VALUE!</v>
      </c>
      <c r="X770" s="43" t="e">
        <f t="shared" si="121"/>
        <v>#VALUE!</v>
      </c>
    </row>
    <row r="771" spans="1:24" ht="14.25" customHeight="1">
      <c r="A771" s="54"/>
      <c r="B771" s="8">
        <v>9</v>
      </c>
      <c r="C771" s="8">
        <f t="shared" si="122"/>
        <v>4.5</v>
      </c>
      <c r="D771" s="16" t="s">
        <v>25</v>
      </c>
      <c r="E771" s="12" t="s">
        <v>234</v>
      </c>
      <c r="F771" s="17" t="s">
        <v>34</v>
      </c>
      <c r="G771" s="17" t="s">
        <v>214</v>
      </c>
      <c r="H771" s="17" t="s">
        <v>29</v>
      </c>
      <c r="I771" s="17" t="s">
        <v>46</v>
      </c>
      <c r="J771" s="8">
        <v>1.4</v>
      </c>
      <c r="K771" s="8">
        <v>2.2000000000000002</v>
      </c>
      <c r="L771" s="8">
        <f t="shared" si="105"/>
        <v>57.14285714285716</v>
      </c>
      <c r="M771" s="9">
        <v>60.7</v>
      </c>
      <c r="N771" s="9">
        <v>72.2</v>
      </c>
      <c r="O771" s="10">
        <f t="shared" si="124"/>
        <v>18.945634266886323</v>
      </c>
      <c r="P771" s="11" t="s">
        <v>31</v>
      </c>
      <c r="Q771" s="11" t="s">
        <v>31</v>
      </c>
      <c r="R771" s="11" t="s">
        <v>31</v>
      </c>
      <c r="S771" s="37">
        <f t="shared" si="116"/>
        <v>1.146128035678238</v>
      </c>
      <c r="T771" s="37">
        <f t="shared" si="117"/>
        <v>2.7569619513137056</v>
      </c>
      <c r="U771" s="42">
        <f t="shared" si="118"/>
        <v>2.7831886910752575</v>
      </c>
      <c r="V771" s="41">
        <f t="shared" si="119"/>
        <v>2.2775091492783539</v>
      </c>
      <c r="W771" s="43" t="e">
        <f t="shared" si="120"/>
        <v>#VALUE!</v>
      </c>
      <c r="X771" s="43" t="e">
        <f t="shared" si="121"/>
        <v>#VALUE!</v>
      </c>
    </row>
    <row r="772" spans="1:24" ht="14.25" customHeight="1">
      <c r="A772" s="54"/>
      <c r="B772" s="8">
        <v>0.95</v>
      </c>
      <c r="C772" s="8">
        <f t="shared" si="122"/>
        <v>0.47499999999999998</v>
      </c>
      <c r="D772" s="16" t="s">
        <v>25</v>
      </c>
      <c r="E772" s="12" t="s">
        <v>234</v>
      </c>
      <c r="F772" s="17" t="s">
        <v>34</v>
      </c>
      <c r="G772" s="17" t="s">
        <v>214</v>
      </c>
      <c r="H772" s="17" t="s">
        <v>29</v>
      </c>
      <c r="I772" s="17" t="s">
        <v>46</v>
      </c>
      <c r="J772" s="8">
        <v>1.4</v>
      </c>
      <c r="K772" s="8">
        <v>1.4</v>
      </c>
      <c r="L772" s="8">
        <f t="shared" si="105"/>
        <v>0</v>
      </c>
      <c r="M772" s="9">
        <v>60.7</v>
      </c>
      <c r="N772" s="9">
        <v>62.5</v>
      </c>
      <c r="O772" s="10">
        <f t="shared" si="124"/>
        <v>2.9654036243822026</v>
      </c>
      <c r="P772" s="11" t="s">
        <v>31</v>
      </c>
      <c r="Q772" s="11" t="s">
        <v>31</v>
      </c>
      <c r="R772" s="11" t="s">
        <v>31</v>
      </c>
      <c r="S772" s="37">
        <f t="shared" ref="S772:S831" si="125">LOG10(J772*10)</f>
        <v>1.146128035678238</v>
      </c>
      <c r="T772" s="37" t="e">
        <f t="shared" ref="T772:T831" si="126">LOG10(L772*10)</f>
        <v>#NUM!</v>
      </c>
      <c r="U772" s="42">
        <f t="shared" ref="U772:U831" si="127">LOG10(M772*10)</f>
        <v>2.7831886910752575</v>
      </c>
      <c r="V772" s="41">
        <f t="shared" ref="V772:V831" si="128">LOG10(O772*10)</f>
        <v>1.4720838140280477</v>
      </c>
      <c r="W772" s="43" t="e">
        <f t="shared" ref="W772:W834" si="129">LOG10(P772*10)</f>
        <v>#VALUE!</v>
      </c>
      <c r="X772" s="43" t="e">
        <f t="shared" ref="X772:X834" si="130">LOG10(R772*10)</f>
        <v>#VALUE!</v>
      </c>
    </row>
    <row r="773" spans="1:24" ht="14.25" customHeight="1">
      <c r="A773" s="54"/>
      <c r="B773" s="8">
        <v>11.05</v>
      </c>
      <c r="C773" s="8">
        <f t="shared" si="122"/>
        <v>5.5250000000000004</v>
      </c>
      <c r="D773" s="16" t="s">
        <v>25</v>
      </c>
      <c r="E773" s="12" t="s">
        <v>234</v>
      </c>
      <c r="F773" s="17" t="s">
        <v>34</v>
      </c>
      <c r="G773" s="17" t="s">
        <v>214</v>
      </c>
      <c r="H773" s="17" t="s">
        <v>29</v>
      </c>
      <c r="I773" s="17" t="s">
        <v>46</v>
      </c>
      <c r="J773" s="8">
        <v>1.4</v>
      </c>
      <c r="K773" s="8">
        <v>2.1</v>
      </c>
      <c r="L773" s="8">
        <f t="shared" si="105"/>
        <v>50.000000000000014</v>
      </c>
      <c r="M773" s="9">
        <v>60.7</v>
      </c>
      <c r="N773" s="9">
        <v>67.599999999999994</v>
      </c>
      <c r="O773" s="10">
        <f t="shared" si="124"/>
        <v>11.367380560131782</v>
      </c>
      <c r="P773" s="11" t="s">
        <v>31</v>
      </c>
      <c r="Q773" s="11" t="s">
        <v>31</v>
      </c>
      <c r="R773" s="11" t="s">
        <v>31</v>
      </c>
      <c r="S773" s="37">
        <f t="shared" si="125"/>
        <v>1.146128035678238</v>
      </c>
      <c r="T773" s="37">
        <f t="shared" si="126"/>
        <v>2.6989700043360187</v>
      </c>
      <c r="U773" s="42">
        <f t="shared" si="127"/>
        <v>2.7831886910752575</v>
      </c>
      <c r="V773" s="41">
        <f t="shared" si="128"/>
        <v>2.0556603996619973</v>
      </c>
      <c r="W773" s="43" t="e">
        <f t="shared" si="129"/>
        <v>#VALUE!</v>
      </c>
      <c r="X773" s="43" t="e">
        <f t="shared" si="130"/>
        <v>#VALUE!</v>
      </c>
    </row>
    <row r="774" spans="1:24" ht="14.25" customHeight="1">
      <c r="A774" s="54"/>
      <c r="B774" s="8">
        <v>6</v>
      </c>
      <c r="C774" s="8">
        <f t="shared" si="122"/>
        <v>3</v>
      </c>
      <c r="D774" s="16" t="s">
        <v>25</v>
      </c>
      <c r="E774" s="12" t="s">
        <v>234</v>
      </c>
      <c r="F774" s="17" t="s">
        <v>34</v>
      </c>
      <c r="G774" s="17" t="s">
        <v>214</v>
      </c>
      <c r="H774" s="17" t="s">
        <v>29</v>
      </c>
      <c r="I774" s="17" t="s">
        <v>46</v>
      </c>
      <c r="J774" s="8">
        <v>1.4</v>
      </c>
      <c r="K774" s="8">
        <v>1.9</v>
      </c>
      <c r="L774" s="8">
        <f t="shared" si="105"/>
        <v>35.714285714285715</v>
      </c>
      <c r="M774" s="9">
        <v>60.7</v>
      </c>
      <c r="N774" s="9">
        <v>71.900000000000006</v>
      </c>
      <c r="O774" s="10">
        <f t="shared" si="124"/>
        <v>18.451400329489296</v>
      </c>
      <c r="P774" s="11" t="s">
        <v>31</v>
      </c>
      <c r="Q774" s="11" t="s">
        <v>31</v>
      </c>
      <c r="R774" s="11" t="s">
        <v>31</v>
      </c>
      <c r="S774" s="37">
        <f t="shared" si="125"/>
        <v>1.146128035678238</v>
      </c>
      <c r="T774" s="37">
        <f t="shared" si="126"/>
        <v>2.552841968657781</v>
      </c>
      <c r="U774" s="42">
        <f t="shared" si="127"/>
        <v>2.7831886910752575</v>
      </c>
      <c r="V774" s="41">
        <f t="shared" si="128"/>
        <v>2.266029331594924</v>
      </c>
      <c r="W774" s="43" t="e">
        <f t="shared" si="129"/>
        <v>#VALUE!</v>
      </c>
      <c r="X774" s="43" t="e">
        <f t="shared" si="130"/>
        <v>#VALUE!</v>
      </c>
    </row>
    <row r="775" spans="1:24" ht="14.25" customHeight="1">
      <c r="A775" s="54"/>
      <c r="B775" s="8">
        <v>6</v>
      </c>
      <c r="C775" s="8">
        <f t="shared" si="122"/>
        <v>3</v>
      </c>
      <c r="D775" s="16" t="s">
        <v>25</v>
      </c>
      <c r="E775" s="12" t="s">
        <v>234</v>
      </c>
      <c r="F775" s="17" t="s">
        <v>34</v>
      </c>
      <c r="G775" s="17" t="s">
        <v>214</v>
      </c>
      <c r="H775" s="17" t="s">
        <v>29</v>
      </c>
      <c r="I775" s="17" t="s">
        <v>46</v>
      </c>
      <c r="J775" s="8">
        <v>1.4</v>
      </c>
      <c r="K775" s="8">
        <v>2</v>
      </c>
      <c r="L775" s="8">
        <f t="shared" si="105"/>
        <v>42.857142857142868</v>
      </c>
      <c r="M775" s="9">
        <v>60.7</v>
      </c>
      <c r="N775" s="9">
        <v>70.099999999999994</v>
      </c>
      <c r="O775" s="10">
        <f t="shared" si="124"/>
        <v>15.48599670510707</v>
      </c>
      <c r="P775" s="11" t="s">
        <v>31</v>
      </c>
      <c r="Q775" s="11" t="s">
        <v>31</v>
      </c>
      <c r="R775" s="11" t="s">
        <v>31</v>
      </c>
      <c r="S775" s="37">
        <f t="shared" si="125"/>
        <v>1.146128035678238</v>
      </c>
      <c r="T775" s="37">
        <f t="shared" si="126"/>
        <v>2.6320232147054057</v>
      </c>
      <c r="U775" s="42">
        <f t="shared" si="127"/>
        <v>2.7831886910752575</v>
      </c>
      <c r="V775" s="41">
        <f t="shared" si="128"/>
        <v>2.1899391625244409</v>
      </c>
      <c r="W775" s="43" t="e">
        <f t="shared" si="129"/>
        <v>#VALUE!</v>
      </c>
      <c r="X775" s="43" t="e">
        <f t="shared" si="130"/>
        <v>#VALUE!</v>
      </c>
    </row>
    <row r="776" spans="1:24" ht="14.25" customHeight="1">
      <c r="A776" s="54"/>
      <c r="B776" s="8">
        <v>6</v>
      </c>
      <c r="C776" s="8">
        <f t="shared" si="122"/>
        <v>3</v>
      </c>
      <c r="D776" s="16" t="s">
        <v>25</v>
      </c>
      <c r="E776" s="12" t="s">
        <v>234</v>
      </c>
      <c r="F776" s="17" t="s">
        <v>34</v>
      </c>
      <c r="G776" s="17" t="s">
        <v>214</v>
      </c>
      <c r="H776" s="17" t="s">
        <v>29</v>
      </c>
      <c r="I776" s="17" t="s">
        <v>46</v>
      </c>
      <c r="J776" s="8">
        <v>1.4</v>
      </c>
      <c r="K776" s="8">
        <v>1.9</v>
      </c>
      <c r="L776" s="8">
        <f t="shared" si="105"/>
        <v>35.714285714285715</v>
      </c>
      <c r="M776" s="9">
        <v>60.7</v>
      </c>
      <c r="N776" s="9">
        <v>68.599999999999994</v>
      </c>
      <c r="O776" s="10">
        <f t="shared" si="124"/>
        <v>13.014827018121897</v>
      </c>
      <c r="P776" s="11" t="s">
        <v>31</v>
      </c>
      <c r="Q776" s="11" t="s">
        <v>31</v>
      </c>
      <c r="R776" s="11" t="s">
        <v>31</v>
      </c>
      <c r="S776" s="37">
        <f t="shared" si="125"/>
        <v>1.146128035678238</v>
      </c>
      <c r="T776" s="37">
        <f t="shared" si="126"/>
        <v>2.552841968657781</v>
      </c>
      <c r="U776" s="42">
        <f t="shared" si="127"/>
        <v>2.7831886910752575</v>
      </c>
      <c r="V776" s="41">
        <f t="shared" si="128"/>
        <v>2.1144384002151835</v>
      </c>
      <c r="W776" s="43" t="e">
        <f t="shared" si="129"/>
        <v>#VALUE!</v>
      </c>
      <c r="X776" s="43" t="e">
        <f t="shared" si="130"/>
        <v>#VALUE!</v>
      </c>
    </row>
    <row r="777" spans="1:24" ht="14.25" customHeight="1">
      <c r="A777" s="54"/>
      <c r="B777" s="8">
        <v>6</v>
      </c>
      <c r="C777" s="8">
        <f t="shared" si="122"/>
        <v>3</v>
      </c>
      <c r="D777" s="16" t="s">
        <v>25</v>
      </c>
      <c r="E777" s="12" t="s">
        <v>234</v>
      </c>
      <c r="F777" s="17" t="s">
        <v>34</v>
      </c>
      <c r="G777" s="17" t="s">
        <v>214</v>
      </c>
      <c r="H777" s="17" t="s">
        <v>29</v>
      </c>
      <c r="I777" s="17" t="s">
        <v>46</v>
      </c>
      <c r="J777" s="8">
        <v>1.4</v>
      </c>
      <c r="K777" s="8">
        <v>1.9</v>
      </c>
      <c r="L777" s="8">
        <f t="shared" si="105"/>
        <v>35.714285714285715</v>
      </c>
      <c r="M777" s="9">
        <v>60.7</v>
      </c>
      <c r="N777" s="9">
        <v>69.8</v>
      </c>
      <c r="O777" s="10">
        <f t="shared" si="124"/>
        <v>14.991762767710041</v>
      </c>
      <c r="P777" s="11" t="s">
        <v>31</v>
      </c>
      <c r="Q777" s="11" t="s">
        <v>31</v>
      </c>
      <c r="R777" s="11" t="s">
        <v>31</v>
      </c>
      <c r="S777" s="37">
        <f t="shared" si="125"/>
        <v>1.146128035678238</v>
      </c>
      <c r="T777" s="37">
        <f t="shared" si="126"/>
        <v>2.552841968657781</v>
      </c>
      <c r="U777" s="42">
        <f t="shared" si="127"/>
        <v>2.7831886910752575</v>
      </c>
      <c r="V777" s="41">
        <f t="shared" si="128"/>
        <v>2.175852701245836</v>
      </c>
      <c r="W777" s="43" t="e">
        <f t="shared" si="129"/>
        <v>#VALUE!</v>
      </c>
      <c r="X777" s="43" t="e">
        <f t="shared" si="130"/>
        <v>#VALUE!</v>
      </c>
    </row>
    <row r="778" spans="1:24" ht="14.25" customHeight="1">
      <c r="A778" s="54"/>
      <c r="B778" s="8">
        <v>6</v>
      </c>
      <c r="C778" s="8">
        <f t="shared" si="122"/>
        <v>3</v>
      </c>
      <c r="D778" s="16" t="s">
        <v>25</v>
      </c>
      <c r="E778" s="12" t="s">
        <v>234</v>
      </c>
      <c r="F778" s="17" t="s">
        <v>34</v>
      </c>
      <c r="G778" s="17" t="s">
        <v>214</v>
      </c>
      <c r="H778" s="17" t="s">
        <v>29</v>
      </c>
      <c r="I778" s="17" t="s">
        <v>46</v>
      </c>
      <c r="J778" s="8">
        <v>1.4</v>
      </c>
      <c r="K778" s="8">
        <v>1.6</v>
      </c>
      <c r="L778" s="8">
        <f t="shared" si="105"/>
        <v>14.285714285714299</v>
      </c>
      <c r="M778" s="9">
        <v>60.7</v>
      </c>
      <c r="N778" s="9">
        <v>69.400000000000006</v>
      </c>
      <c r="O778" s="10">
        <f t="shared" si="124"/>
        <v>14.332784184514008</v>
      </c>
      <c r="P778" s="11" t="s">
        <v>31</v>
      </c>
      <c r="Q778" s="11" t="s">
        <v>31</v>
      </c>
      <c r="R778" s="11" t="s">
        <v>31</v>
      </c>
      <c r="S778" s="37">
        <f t="shared" si="125"/>
        <v>1.146128035678238</v>
      </c>
      <c r="T778" s="37">
        <f t="shared" si="126"/>
        <v>2.1549019599857435</v>
      </c>
      <c r="U778" s="42">
        <f t="shared" si="127"/>
        <v>2.7831886910752575</v>
      </c>
      <c r="V778" s="41">
        <f t="shared" si="128"/>
        <v>2.1563305615433612</v>
      </c>
      <c r="W778" s="43" t="e">
        <f t="shared" si="129"/>
        <v>#VALUE!</v>
      </c>
      <c r="X778" s="43" t="e">
        <f t="shared" si="130"/>
        <v>#VALUE!</v>
      </c>
    </row>
    <row r="779" spans="1:24" ht="14.25" customHeight="1">
      <c r="A779" s="55"/>
      <c r="B779" s="8">
        <v>6</v>
      </c>
      <c r="C779" s="8">
        <f t="shared" si="122"/>
        <v>3</v>
      </c>
      <c r="D779" s="16" t="s">
        <v>25</v>
      </c>
      <c r="E779" s="12" t="s">
        <v>234</v>
      </c>
      <c r="F779" s="17" t="s">
        <v>34</v>
      </c>
      <c r="G779" s="17" t="s">
        <v>214</v>
      </c>
      <c r="H779" s="17" t="s">
        <v>29</v>
      </c>
      <c r="I779" s="17" t="s">
        <v>46</v>
      </c>
      <c r="J779" s="8">
        <v>1.4</v>
      </c>
      <c r="K779" s="8">
        <v>1.9</v>
      </c>
      <c r="L779" s="8">
        <f t="shared" si="105"/>
        <v>35.714285714285715</v>
      </c>
      <c r="M779" s="9">
        <v>60.7</v>
      </c>
      <c r="N779" s="9">
        <v>67.3</v>
      </c>
      <c r="O779" s="10">
        <f t="shared" si="124"/>
        <v>10.873146622734751</v>
      </c>
      <c r="P779" s="11" t="s">
        <v>31</v>
      </c>
      <c r="Q779" s="11" t="s">
        <v>31</v>
      </c>
      <c r="R779" s="11" t="s">
        <v>31</v>
      </c>
      <c r="S779" s="37">
        <f t="shared" si="125"/>
        <v>1.146128035678238</v>
      </c>
      <c r="T779" s="37">
        <f t="shared" si="126"/>
        <v>2.552841968657781</v>
      </c>
      <c r="U779" s="42">
        <f t="shared" si="127"/>
        <v>2.7831886910752575</v>
      </c>
      <c r="V779" s="41">
        <f t="shared" si="128"/>
        <v>2.0363552444666109</v>
      </c>
      <c r="W779" s="43" t="e">
        <f t="shared" si="129"/>
        <v>#VALUE!</v>
      </c>
      <c r="X779" s="43" t="e">
        <f t="shared" si="130"/>
        <v>#VALUE!</v>
      </c>
    </row>
    <row r="780" spans="1:24" ht="14.25" customHeight="1">
      <c r="A780" s="55"/>
      <c r="B780" s="8">
        <v>6</v>
      </c>
      <c r="C780" s="8">
        <f t="shared" si="122"/>
        <v>3</v>
      </c>
      <c r="D780" s="16" t="s">
        <v>25</v>
      </c>
      <c r="E780" s="12" t="s">
        <v>234</v>
      </c>
      <c r="F780" s="17" t="s">
        <v>34</v>
      </c>
      <c r="G780" s="17" t="s">
        <v>214</v>
      </c>
      <c r="H780" s="17" t="s">
        <v>29</v>
      </c>
      <c r="I780" s="17" t="s">
        <v>46</v>
      </c>
      <c r="J780" s="8">
        <v>1.4</v>
      </c>
      <c r="K780" s="8">
        <v>2</v>
      </c>
      <c r="L780" s="8">
        <f t="shared" si="105"/>
        <v>42.857142857142868</v>
      </c>
      <c r="M780" s="9">
        <v>60.7</v>
      </c>
      <c r="N780" s="9">
        <v>70.099999999999994</v>
      </c>
      <c r="O780" s="10">
        <f t="shared" si="124"/>
        <v>15.48599670510707</v>
      </c>
      <c r="P780" s="11" t="s">
        <v>31</v>
      </c>
      <c r="Q780" s="11" t="s">
        <v>31</v>
      </c>
      <c r="R780" s="11" t="s">
        <v>31</v>
      </c>
      <c r="S780" s="37">
        <f t="shared" si="125"/>
        <v>1.146128035678238</v>
      </c>
      <c r="T780" s="37">
        <f t="shared" si="126"/>
        <v>2.6320232147054057</v>
      </c>
      <c r="U780" s="42">
        <f t="shared" si="127"/>
        <v>2.7831886910752575</v>
      </c>
      <c r="V780" s="41">
        <f t="shared" si="128"/>
        <v>2.1899391625244409</v>
      </c>
      <c r="W780" s="43" t="e">
        <f t="shared" si="129"/>
        <v>#VALUE!</v>
      </c>
      <c r="X780" s="43" t="e">
        <f t="shared" si="130"/>
        <v>#VALUE!</v>
      </c>
    </row>
    <row r="781" spans="1:24" ht="14.25" customHeight="1">
      <c r="A781" s="55"/>
      <c r="B781" s="8">
        <v>6</v>
      </c>
      <c r="C781" s="8">
        <f t="shared" si="122"/>
        <v>3</v>
      </c>
      <c r="D781" s="16" t="s">
        <v>25</v>
      </c>
      <c r="E781" s="12" t="s">
        <v>234</v>
      </c>
      <c r="F781" s="17" t="s">
        <v>34</v>
      </c>
      <c r="G781" s="17" t="s">
        <v>214</v>
      </c>
      <c r="H781" s="17" t="s">
        <v>29</v>
      </c>
      <c r="I781" s="17" t="s">
        <v>46</v>
      </c>
      <c r="J781" s="8">
        <v>1.4</v>
      </c>
      <c r="K781" s="8">
        <v>1.9</v>
      </c>
      <c r="L781" s="8">
        <f t="shared" si="105"/>
        <v>35.714285714285715</v>
      </c>
      <c r="M781" s="9">
        <v>60.7</v>
      </c>
      <c r="N781" s="9">
        <v>69.2</v>
      </c>
      <c r="O781" s="10">
        <f t="shared" si="124"/>
        <v>14.00329489291598</v>
      </c>
      <c r="P781" s="11" t="s">
        <v>31</v>
      </c>
      <c r="Q781" s="11" t="s">
        <v>31</v>
      </c>
      <c r="R781" s="11" t="s">
        <v>31</v>
      </c>
      <c r="S781" s="37">
        <f t="shared" si="125"/>
        <v>1.146128035678238</v>
      </c>
      <c r="T781" s="37">
        <f t="shared" si="126"/>
        <v>2.552841968657781</v>
      </c>
      <c r="U781" s="42">
        <f t="shared" si="127"/>
        <v>2.7831886910752575</v>
      </c>
      <c r="V781" s="41">
        <f t="shared" si="128"/>
        <v>2.146230234639035</v>
      </c>
      <c r="W781" s="43" t="e">
        <f t="shared" si="129"/>
        <v>#VALUE!</v>
      </c>
      <c r="X781" s="43" t="e">
        <f t="shared" si="130"/>
        <v>#VALUE!</v>
      </c>
    </row>
    <row r="782" spans="1:24" ht="14.25" customHeight="1">
      <c r="A782" s="56"/>
      <c r="B782" s="8">
        <v>6</v>
      </c>
      <c r="C782" s="8">
        <f t="shared" si="122"/>
        <v>3</v>
      </c>
      <c r="D782" s="16" t="s">
        <v>25</v>
      </c>
      <c r="E782" s="12" t="s">
        <v>234</v>
      </c>
      <c r="F782" s="17" t="s">
        <v>34</v>
      </c>
      <c r="G782" s="17" t="s">
        <v>214</v>
      </c>
      <c r="H782" s="17" t="s">
        <v>29</v>
      </c>
      <c r="I782" s="17" t="s">
        <v>46</v>
      </c>
      <c r="J782" s="8">
        <v>1.4</v>
      </c>
      <c r="K782" s="8">
        <v>7</v>
      </c>
      <c r="L782" s="8">
        <f t="shared" si="105"/>
        <v>400</v>
      </c>
      <c r="M782" s="9">
        <v>60.7</v>
      </c>
      <c r="N782" s="9">
        <v>66.099999999999994</v>
      </c>
      <c r="O782" s="10">
        <f t="shared" si="124"/>
        <v>8.8962108731466074</v>
      </c>
      <c r="P782" s="11" t="s">
        <v>31</v>
      </c>
      <c r="Q782" s="11" t="s">
        <v>31</v>
      </c>
      <c r="R782" s="11" t="s">
        <v>31</v>
      </c>
      <c r="S782" s="37">
        <f t="shared" si="125"/>
        <v>1.146128035678238</v>
      </c>
      <c r="T782" s="37">
        <f t="shared" si="126"/>
        <v>3.6020599913279625</v>
      </c>
      <c r="U782" s="42">
        <f t="shared" si="127"/>
        <v>2.7831886910752575</v>
      </c>
      <c r="V782" s="41">
        <f t="shared" si="128"/>
        <v>1.9492050687477103</v>
      </c>
      <c r="W782" s="43" t="e">
        <f t="shared" si="129"/>
        <v>#VALUE!</v>
      </c>
      <c r="X782" s="43" t="e">
        <f t="shared" si="130"/>
        <v>#VALUE!</v>
      </c>
    </row>
    <row r="783" spans="1:24" ht="14.25" customHeight="1">
      <c r="A783" s="45" t="s">
        <v>267</v>
      </c>
      <c r="B783" s="8">
        <v>1.8</v>
      </c>
      <c r="C783" s="8">
        <f t="shared" si="122"/>
        <v>0.9</v>
      </c>
      <c r="D783" s="16" t="s">
        <v>25</v>
      </c>
      <c r="E783" s="12" t="s">
        <v>58</v>
      </c>
      <c r="F783" s="17" t="s">
        <v>112</v>
      </c>
      <c r="G783" s="17" t="s">
        <v>37</v>
      </c>
      <c r="H783" s="17" t="s">
        <v>29</v>
      </c>
      <c r="I783" s="17" t="s">
        <v>36</v>
      </c>
      <c r="J783" s="8">
        <v>2.4</v>
      </c>
      <c r="K783" s="8">
        <v>2.8</v>
      </c>
      <c r="L783" s="8">
        <f t="shared" si="105"/>
        <v>16.666666666666664</v>
      </c>
      <c r="M783" s="9">
        <v>55</v>
      </c>
      <c r="N783" s="9">
        <v>61</v>
      </c>
      <c r="O783" s="10">
        <f t="shared" si="124"/>
        <v>10.909090909090908</v>
      </c>
      <c r="P783" s="11" t="s">
        <v>31</v>
      </c>
      <c r="Q783" s="11" t="s">
        <v>31</v>
      </c>
      <c r="R783" s="11" t="s">
        <v>31</v>
      </c>
      <c r="S783" s="37">
        <f t="shared" si="125"/>
        <v>1.3802112417116059</v>
      </c>
      <c r="T783" s="37">
        <f t="shared" si="126"/>
        <v>2.2218487496163561</v>
      </c>
      <c r="U783" s="42">
        <f t="shared" si="127"/>
        <v>2.7403626894942437</v>
      </c>
      <c r="V783" s="41">
        <f t="shared" si="128"/>
        <v>2.0377885608893997</v>
      </c>
      <c r="W783" s="43" t="e">
        <f t="shared" si="129"/>
        <v>#VALUE!</v>
      </c>
      <c r="X783" s="43" t="e">
        <f t="shared" si="130"/>
        <v>#VALUE!</v>
      </c>
    </row>
    <row r="784" spans="1:24" ht="14.25" customHeight="1">
      <c r="A784" s="46"/>
      <c r="B784" s="8">
        <v>3.6</v>
      </c>
      <c r="C784" s="8">
        <f t="shared" si="122"/>
        <v>1.8</v>
      </c>
      <c r="D784" s="16" t="s">
        <v>25</v>
      </c>
      <c r="E784" s="12" t="s">
        <v>58</v>
      </c>
      <c r="F784" s="17" t="s">
        <v>112</v>
      </c>
      <c r="G784" s="17" t="s">
        <v>37</v>
      </c>
      <c r="H784" s="17" t="s">
        <v>29</v>
      </c>
      <c r="I784" s="17" t="s">
        <v>36</v>
      </c>
      <c r="J784" s="8">
        <v>2.4</v>
      </c>
      <c r="K784" s="8">
        <v>3</v>
      </c>
      <c r="L784" s="8">
        <f t="shared" si="105"/>
        <v>25.000000000000007</v>
      </c>
      <c r="M784" s="9">
        <v>55</v>
      </c>
      <c r="N784" s="9">
        <v>62</v>
      </c>
      <c r="O784" s="10">
        <f t="shared" si="124"/>
        <v>12.727272727272727</v>
      </c>
      <c r="P784" s="11" t="s">
        <v>31</v>
      </c>
      <c r="Q784" s="11" t="s">
        <v>31</v>
      </c>
      <c r="R784" s="11" t="s">
        <v>31</v>
      </c>
      <c r="S784" s="37">
        <f t="shared" si="125"/>
        <v>1.3802112417116059</v>
      </c>
      <c r="T784" s="37">
        <f t="shared" si="126"/>
        <v>2.3979400086720375</v>
      </c>
      <c r="U784" s="42">
        <f t="shared" si="127"/>
        <v>2.7403626894942437</v>
      </c>
      <c r="V784" s="41">
        <f t="shared" si="128"/>
        <v>2.1047353505200128</v>
      </c>
      <c r="W784" s="43" t="e">
        <f t="shared" si="129"/>
        <v>#VALUE!</v>
      </c>
      <c r="X784" s="43" t="e">
        <f t="shared" si="130"/>
        <v>#VALUE!</v>
      </c>
    </row>
    <row r="785" spans="1:24" ht="14.25" customHeight="1">
      <c r="A785" s="46"/>
      <c r="B785" s="8">
        <v>5.4</v>
      </c>
      <c r="C785" s="8">
        <f t="shared" si="122"/>
        <v>2.7</v>
      </c>
      <c r="D785" s="16" t="s">
        <v>25</v>
      </c>
      <c r="E785" s="12" t="s">
        <v>58</v>
      </c>
      <c r="F785" s="17" t="s">
        <v>112</v>
      </c>
      <c r="G785" s="17" t="s">
        <v>37</v>
      </c>
      <c r="H785" s="17" t="s">
        <v>29</v>
      </c>
      <c r="I785" s="17" t="s">
        <v>36</v>
      </c>
      <c r="J785" s="8">
        <v>2.4</v>
      </c>
      <c r="K785" s="8">
        <v>3</v>
      </c>
      <c r="L785" s="8">
        <f t="shared" si="105"/>
        <v>25.000000000000007</v>
      </c>
      <c r="M785" s="9">
        <v>55</v>
      </c>
      <c r="N785" s="9">
        <v>61.5</v>
      </c>
      <c r="O785" s="10">
        <f t="shared" si="124"/>
        <v>11.818181818181818</v>
      </c>
      <c r="P785" s="11" t="s">
        <v>31</v>
      </c>
      <c r="Q785" s="11" t="s">
        <v>31</v>
      </c>
      <c r="R785" s="11" t="s">
        <v>31</v>
      </c>
      <c r="S785" s="37">
        <f t="shared" si="125"/>
        <v>1.3802112417116059</v>
      </c>
      <c r="T785" s="37">
        <f t="shared" si="126"/>
        <v>2.3979400086720375</v>
      </c>
      <c r="U785" s="42">
        <f t="shared" si="127"/>
        <v>2.7403626894942437</v>
      </c>
      <c r="V785" s="41">
        <f t="shared" si="128"/>
        <v>2.0725506671486116</v>
      </c>
      <c r="W785" s="43" t="e">
        <f t="shared" si="129"/>
        <v>#VALUE!</v>
      </c>
      <c r="X785" s="43" t="e">
        <f t="shared" si="130"/>
        <v>#VALUE!</v>
      </c>
    </row>
    <row r="786" spans="1:24" ht="14.25" customHeight="1">
      <c r="A786" s="46"/>
      <c r="B786" s="8">
        <v>7</v>
      </c>
      <c r="C786" s="8">
        <f t="shared" si="122"/>
        <v>3.5</v>
      </c>
      <c r="D786" s="16" t="s">
        <v>25</v>
      </c>
      <c r="E786" s="12" t="s">
        <v>58</v>
      </c>
      <c r="F786" s="17" t="s">
        <v>112</v>
      </c>
      <c r="G786" s="17" t="s">
        <v>37</v>
      </c>
      <c r="H786" s="17" t="s">
        <v>29</v>
      </c>
      <c r="I786" s="17" t="s">
        <v>36</v>
      </c>
      <c r="J786" s="8">
        <v>2.4</v>
      </c>
      <c r="K786" s="8">
        <v>2.6</v>
      </c>
      <c r="L786" s="8">
        <f t="shared" si="105"/>
        <v>8.333333333333341</v>
      </c>
      <c r="M786" s="9">
        <v>55</v>
      </c>
      <c r="N786" s="9">
        <v>58</v>
      </c>
      <c r="O786" s="10">
        <f t="shared" si="124"/>
        <v>5.4545454545454541</v>
      </c>
      <c r="P786" s="11" t="s">
        <v>31</v>
      </c>
      <c r="Q786" s="11" t="s">
        <v>31</v>
      </c>
      <c r="R786" s="11" t="s">
        <v>31</v>
      </c>
      <c r="S786" s="37">
        <f t="shared" si="125"/>
        <v>1.3802112417116059</v>
      </c>
      <c r="T786" s="37">
        <f t="shared" si="126"/>
        <v>1.9208187539523756</v>
      </c>
      <c r="U786" s="42">
        <f t="shared" si="127"/>
        <v>2.7403626894942437</v>
      </c>
      <c r="V786" s="41">
        <f t="shared" si="128"/>
        <v>1.7367585652254185</v>
      </c>
      <c r="W786" s="43" t="e">
        <f t="shared" si="129"/>
        <v>#VALUE!</v>
      </c>
      <c r="X786" s="43" t="e">
        <f t="shared" si="130"/>
        <v>#VALUE!</v>
      </c>
    </row>
    <row r="787" spans="1:24" ht="14.25" customHeight="1">
      <c r="A787" s="46"/>
      <c r="B787" s="8">
        <v>1.8</v>
      </c>
      <c r="C787" s="8">
        <f t="shared" si="122"/>
        <v>0.9</v>
      </c>
      <c r="D787" s="16" t="s">
        <v>25</v>
      </c>
      <c r="E787" s="12" t="s">
        <v>58</v>
      </c>
      <c r="F787" s="17" t="s">
        <v>34</v>
      </c>
      <c r="G787" s="17" t="s">
        <v>37</v>
      </c>
      <c r="H787" s="17" t="s">
        <v>29</v>
      </c>
      <c r="I787" s="17" t="s">
        <v>36</v>
      </c>
      <c r="J787" s="8">
        <v>2.4</v>
      </c>
      <c r="K787" s="8">
        <v>2.9</v>
      </c>
      <c r="L787" s="8">
        <f t="shared" si="105"/>
        <v>20.833333333333336</v>
      </c>
      <c r="M787" s="9">
        <v>55</v>
      </c>
      <c r="N787" s="9">
        <v>61.5</v>
      </c>
      <c r="O787" s="10">
        <f t="shared" si="124"/>
        <v>11.818181818181818</v>
      </c>
      <c r="P787" s="11" t="s">
        <v>31</v>
      </c>
      <c r="Q787" s="11" t="s">
        <v>31</v>
      </c>
      <c r="R787" s="11" t="s">
        <v>31</v>
      </c>
      <c r="S787" s="37">
        <f t="shared" si="125"/>
        <v>1.3802112417116059</v>
      </c>
      <c r="T787" s="37">
        <f t="shared" si="126"/>
        <v>2.3187587626244128</v>
      </c>
      <c r="U787" s="42">
        <f t="shared" si="127"/>
        <v>2.7403626894942437</v>
      </c>
      <c r="V787" s="41">
        <f t="shared" si="128"/>
        <v>2.0725506671486116</v>
      </c>
      <c r="W787" s="43" t="e">
        <f t="shared" si="129"/>
        <v>#VALUE!</v>
      </c>
      <c r="X787" s="43" t="e">
        <f t="shared" si="130"/>
        <v>#VALUE!</v>
      </c>
    </row>
    <row r="788" spans="1:24" ht="14.25" customHeight="1">
      <c r="A788" s="46"/>
      <c r="B788" s="8">
        <v>3.6</v>
      </c>
      <c r="C788" s="8">
        <f t="shared" si="122"/>
        <v>1.8</v>
      </c>
      <c r="D788" s="16" t="s">
        <v>25</v>
      </c>
      <c r="E788" s="12" t="s">
        <v>58</v>
      </c>
      <c r="F788" s="17" t="s">
        <v>34</v>
      </c>
      <c r="G788" s="17" t="s">
        <v>37</v>
      </c>
      <c r="H788" s="17" t="s">
        <v>29</v>
      </c>
      <c r="I788" s="17" t="s">
        <v>36</v>
      </c>
      <c r="J788" s="8">
        <v>2.4</v>
      </c>
      <c r="K788" s="8">
        <v>3.2</v>
      </c>
      <c r="L788" s="8">
        <f t="shared" si="105"/>
        <v>33.33333333333335</v>
      </c>
      <c r="M788" s="9">
        <v>55</v>
      </c>
      <c r="N788" s="9">
        <v>62</v>
      </c>
      <c r="O788" s="10">
        <f t="shared" si="124"/>
        <v>12.727272727272727</v>
      </c>
      <c r="P788" s="11" t="s">
        <v>31</v>
      </c>
      <c r="Q788" s="11" t="s">
        <v>31</v>
      </c>
      <c r="R788" s="11" t="s">
        <v>31</v>
      </c>
      <c r="S788" s="37">
        <f t="shared" si="125"/>
        <v>1.3802112417116059</v>
      </c>
      <c r="T788" s="37">
        <f t="shared" si="126"/>
        <v>2.5228787452803378</v>
      </c>
      <c r="U788" s="42">
        <f t="shared" si="127"/>
        <v>2.7403626894942437</v>
      </c>
      <c r="V788" s="41">
        <f t="shared" si="128"/>
        <v>2.1047353505200128</v>
      </c>
      <c r="W788" s="43" t="e">
        <f t="shared" si="129"/>
        <v>#VALUE!</v>
      </c>
      <c r="X788" s="43" t="e">
        <f t="shared" si="130"/>
        <v>#VALUE!</v>
      </c>
    </row>
    <row r="789" spans="1:24" ht="14.25" customHeight="1">
      <c r="A789" s="46"/>
      <c r="B789" s="8">
        <v>5.4</v>
      </c>
      <c r="C789" s="8">
        <f t="shared" si="122"/>
        <v>2.7</v>
      </c>
      <c r="D789" s="16" t="s">
        <v>25</v>
      </c>
      <c r="E789" s="12" t="s">
        <v>58</v>
      </c>
      <c r="F789" s="17" t="s">
        <v>34</v>
      </c>
      <c r="G789" s="17" t="s">
        <v>37</v>
      </c>
      <c r="H789" s="17" t="s">
        <v>29</v>
      </c>
      <c r="I789" s="17" t="s">
        <v>36</v>
      </c>
      <c r="J789" s="8">
        <v>2.4</v>
      </c>
      <c r="K789" s="8">
        <v>3.4</v>
      </c>
      <c r="L789" s="8">
        <f t="shared" si="105"/>
        <v>41.666666666666671</v>
      </c>
      <c r="M789" s="9">
        <v>55</v>
      </c>
      <c r="N789" s="9">
        <v>62</v>
      </c>
      <c r="O789" s="10">
        <f t="shared" si="124"/>
        <v>12.727272727272727</v>
      </c>
      <c r="P789" s="11" t="s">
        <v>31</v>
      </c>
      <c r="Q789" s="11" t="s">
        <v>31</v>
      </c>
      <c r="R789" s="11" t="s">
        <v>31</v>
      </c>
      <c r="S789" s="37">
        <f t="shared" si="125"/>
        <v>1.3802112417116059</v>
      </c>
      <c r="T789" s="37">
        <f t="shared" si="126"/>
        <v>2.6197887582883941</v>
      </c>
      <c r="U789" s="42">
        <f t="shared" si="127"/>
        <v>2.7403626894942437</v>
      </c>
      <c r="V789" s="41">
        <f t="shared" si="128"/>
        <v>2.1047353505200128</v>
      </c>
      <c r="W789" s="43" t="e">
        <f t="shared" si="129"/>
        <v>#VALUE!</v>
      </c>
      <c r="X789" s="43" t="e">
        <f t="shared" si="130"/>
        <v>#VALUE!</v>
      </c>
    </row>
    <row r="790" spans="1:24" ht="14.25" customHeight="1">
      <c r="A790" s="49"/>
      <c r="B790" s="8">
        <v>7</v>
      </c>
      <c r="C790" s="8">
        <f t="shared" si="122"/>
        <v>3.5</v>
      </c>
      <c r="D790" s="16" t="s">
        <v>25</v>
      </c>
      <c r="E790" s="12" t="s">
        <v>58</v>
      </c>
      <c r="F790" s="17" t="s">
        <v>34</v>
      </c>
      <c r="G790" s="17" t="s">
        <v>37</v>
      </c>
      <c r="H790" s="17" t="s">
        <v>29</v>
      </c>
      <c r="I790" s="17" t="s">
        <v>36</v>
      </c>
      <c r="J790" s="8">
        <v>2.4</v>
      </c>
      <c r="K790" s="8">
        <v>3.8</v>
      </c>
      <c r="L790" s="8">
        <f t="shared" si="105"/>
        <v>58.333333333333336</v>
      </c>
      <c r="M790" s="9">
        <v>55</v>
      </c>
      <c r="N790" s="9">
        <v>61.5</v>
      </c>
      <c r="O790" s="10">
        <f t="shared" si="124"/>
        <v>11.818181818181818</v>
      </c>
      <c r="P790" s="11" t="s">
        <v>31</v>
      </c>
      <c r="Q790" s="11" t="s">
        <v>31</v>
      </c>
      <c r="R790" s="11" t="s">
        <v>31</v>
      </c>
      <c r="S790" s="37">
        <f t="shared" si="125"/>
        <v>1.3802112417116059</v>
      </c>
      <c r="T790" s="37">
        <f t="shared" si="126"/>
        <v>2.7659167939666318</v>
      </c>
      <c r="U790" s="42">
        <f t="shared" si="127"/>
        <v>2.7403626894942437</v>
      </c>
      <c r="V790" s="41">
        <f t="shared" si="128"/>
        <v>2.0725506671486116</v>
      </c>
      <c r="W790" s="43" t="e">
        <f t="shared" si="129"/>
        <v>#VALUE!</v>
      </c>
      <c r="X790" s="43" t="e">
        <f t="shared" si="130"/>
        <v>#VALUE!</v>
      </c>
    </row>
    <row r="791" spans="1:24" ht="14.25" customHeight="1">
      <c r="A791" s="49"/>
      <c r="B791" s="8">
        <v>1.8</v>
      </c>
      <c r="C791" s="8">
        <f t="shared" si="122"/>
        <v>0.9</v>
      </c>
      <c r="D791" s="16" t="s">
        <v>25</v>
      </c>
      <c r="E791" s="12" t="s">
        <v>58</v>
      </c>
      <c r="F791" s="17" t="s">
        <v>34</v>
      </c>
      <c r="G791" s="17" t="s">
        <v>28</v>
      </c>
      <c r="H791" s="17" t="s">
        <v>29</v>
      </c>
      <c r="I791" s="17" t="s">
        <v>36</v>
      </c>
      <c r="J791" s="8">
        <v>2.4</v>
      </c>
      <c r="K791" s="8">
        <v>2.95</v>
      </c>
      <c r="L791" s="8">
        <f t="shared" si="105"/>
        <v>22.916666666666679</v>
      </c>
      <c r="M791" s="9">
        <v>55</v>
      </c>
      <c r="N791" s="9">
        <v>64</v>
      </c>
      <c r="O791" s="10">
        <f t="shared" si="124"/>
        <v>16.363636363636363</v>
      </c>
      <c r="P791" s="11" t="s">
        <v>31</v>
      </c>
      <c r="Q791" s="11" t="s">
        <v>31</v>
      </c>
      <c r="R791" s="11" t="s">
        <v>31</v>
      </c>
      <c r="S791" s="37">
        <f t="shared" si="125"/>
        <v>1.3802112417116059</v>
      </c>
      <c r="T791" s="37">
        <f t="shared" si="126"/>
        <v>2.3601514477826382</v>
      </c>
      <c r="U791" s="42">
        <f t="shared" si="127"/>
        <v>2.7403626894942437</v>
      </c>
      <c r="V791" s="41">
        <f t="shared" si="128"/>
        <v>2.2138798199450811</v>
      </c>
      <c r="W791" s="43" t="e">
        <f t="shared" si="129"/>
        <v>#VALUE!</v>
      </c>
      <c r="X791" s="43" t="e">
        <f t="shared" si="130"/>
        <v>#VALUE!</v>
      </c>
    </row>
    <row r="792" spans="1:24" ht="14.25" customHeight="1">
      <c r="A792" s="49"/>
      <c r="B792" s="8">
        <v>3.6</v>
      </c>
      <c r="C792" s="8">
        <f t="shared" si="122"/>
        <v>1.8</v>
      </c>
      <c r="D792" s="16" t="s">
        <v>25</v>
      </c>
      <c r="E792" s="12" t="s">
        <v>58</v>
      </c>
      <c r="F792" s="17" t="s">
        <v>34</v>
      </c>
      <c r="G792" s="17" t="s">
        <v>28</v>
      </c>
      <c r="H792" s="17" t="s">
        <v>29</v>
      </c>
      <c r="I792" s="17" t="s">
        <v>36</v>
      </c>
      <c r="J792" s="8">
        <v>2.4</v>
      </c>
      <c r="K792" s="8">
        <v>3.3</v>
      </c>
      <c r="L792" s="8">
        <f t="shared" si="105"/>
        <v>37.5</v>
      </c>
      <c r="M792" s="9">
        <v>55</v>
      </c>
      <c r="N792" s="9">
        <v>67</v>
      </c>
      <c r="O792" s="10">
        <f t="shared" si="124"/>
        <v>21.818181818181817</v>
      </c>
      <c r="P792" s="11" t="s">
        <v>31</v>
      </c>
      <c r="Q792" s="11" t="s">
        <v>31</v>
      </c>
      <c r="R792" s="11" t="s">
        <v>31</v>
      </c>
      <c r="S792" s="37">
        <f t="shared" si="125"/>
        <v>1.3802112417116059</v>
      </c>
      <c r="T792" s="37">
        <f t="shared" si="126"/>
        <v>2.5740312677277188</v>
      </c>
      <c r="U792" s="42">
        <f t="shared" si="127"/>
        <v>2.7403626894942437</v>
      </c>
      <c r="V792" s="41">
        <f t="shared" si="128"/>
        <v>2.338818556553381</v>
      </c>
      <c r="W792" s="43" t="e">
        <f t="shared" si="129"/>
        <v>#VALUE!</v>
      </c>
      <c r="X792" s="43" t="e">
        <f t="shared" si="130"/>
        <v>#VALUE!</v>
      </c>
    </row>
    <row r="793" spans="1:24" ht="14.25" customHeight="1">
      <c r="A793" s="50"/>
      <c r="B793" s="8">
        <v>5.4</v>
      </c>
      <c r="C793" s="8">
        <f t="shared" si="122"/>
        <v>2.7</v>
      </c>
      <c r="D793" s="16" t="s">
        <v>25</v>
      </c>
      <c r="E793" s="12" t="s">
        <v>58</v>
      </c>
      <c r="F793" s="17" t="s">
        <v>34</v>
      </c>
      <c r="G793" s="17" t="s">
        <v>28</v>
      </c>
      <c r="H793" s="17" t="s">
        <v>29</v>
      </c>
      <c r="I793" s="17" t="s">
        <v>36</v>
      </c>
      <c r="J793" s="8">
        <v>2.4</v>
      </c>
      <c r="K793" s="8">
        <v>3.55</v>
      </c>
      <c r="L793" s="8">
        <f t="shared" si="105"/>
        <v>47.916666666666664</v>
      </c>
      <c r="M793" s="9">
        <v>55</v>
      </c>
      <c r="N793" s="9">
        <v>69</v>
      </c>
      <c r="O793" s="10">
        <f t="shared" si="124"/>
        <v>25.454545454545453</v>
      </c>
      <c r="P793" s="11" t="s">
        <v>31</v>
      </c>
      <c r="Q793" s="11" t="s">
        <v>31</v>
      </c>
      <c r="R793" s="11" t="s">
        <v>31</v>
      </c>
      <c r="S793" s="37">
        <f t="shared" si="125"/>
        <v>1.3802112417116059</v>
      </c>
      <c r="T793" s="37">
        <f t="shared" si="126"/>
        <v>2.6804865986420054</v>
      </c>
      <c r="U793" s="42">
        <f t="shared" si="127"/>
        <v>2.7403626894942437</v>
      </c>
      <c r="V793" s="41">
        <f t="shared" si="128"/>
        <v>2.4057653461839941</v>
      </c>
      <c r="W793" s="43" t="e">
        <f t="shared" si="129"/>
        <v>#VALUE!</v>
      </c>
      <c r="X793" s="43" t="e">
        <f t="shared" si="130"/>
        <v>#VALUE!</v>
      </c>
    </row>
    <row r="794" spans="1:24" ht="14.25" customHeight="1">
      <c r="A794" s="45" t="s">
        <v>268</v>
      </c>
      <c r="B794" s="8">
        <v>0.5</v>
      </c>
      <c r="C794" s="8">
        <f t="shared" si="122"/>
        <v>0.25</v>
      </c>
      <c r="D794" s="16" t="s">
        <v>25</v>
      </c>
      <c r="E794" s="22" t="s">
        <v>57</v>
      </c>
      <c r="F794" s="17" t="s">
        <v>34</v>
      </c>
      <c r="G794" s="17" t="s">
        <v>37</v>
      </c>
      <c r="H794" s="17" t="s">
        <v>29</v>
      </c>
      <c r="I794" s="17" t="s">
        <v>36</v>
      </c>
      <c r="J794" s="8">
        <v>2.8</v>
      </c>
      <c r="K794" s="8">
        <v>3.5</v>
      </c>
      <c r="L794" s="8">
        <f t="shared" si="105"/>
        <v>25.000000000000007</v>
      </c>
      <c r="M794" s="9">
        <v>15</v>
      </c>
      <c r="N794" s="9">
        <v>17</v>
      </c>
      <c r="O794" s="10">
        <f t="shared" si="124"/>
        <v>13.333333333333334</v>
      </c>
      <c r="P794" s="11">
        <v>4.4999999999999998E-2</v>
      </c>
      <c r="Q794" s="11">
        <v>0.04</v>
      </c>
      <c r="R794" s="33">
        <f t="shared" si="123"/>
        <v>-11.111111111111107</v>
      </c>
      <c r="S794" s="37">
        <f t="shared" si="125"/>
        <v>1.4471580313422192</v>
      </c>
      <c r="T794" s="37">
        <f t="shared" si="126"/>
        <v>2.3979400086720375</v>
      </c>
      <c r="U794" s="42">
        <f t="shared" si="127"/>
        <v>2.1760912590556813</v>
      </c>
      <c r="V794" s="41">
        <f t="shared" si="128"/>
        <v>2.1249387366082999</v>
      </c>
      <c r="W794" s="43">
        <f t="shared" si="129"/>
        <v>-0.34678748622465638</v>
      </c>
      <c r="X794" s="43" t="e">
        <f t="shared" si="130"/>
        <v>#NUM!</v>
      </c>
    </row>
    <row r="795" spans="1:24" ht="14.25" customHeight="1">
      <c r="A795" s="49"/>
      <c r="B795" s="8">
        <v>1</v>
      </c>
      <c r="C795" s="8">
        <f t="shared" si="122"/>
        <v>0.5</v>
      </c>
      <c r="D795" s="16" t="s">
        <v>25</v>
      </c>
      <c r="E795" s="22" t="s">
        <v>57</v>
      </c>
      <c r="F795" s="17" t="s">
        <v>34</v>
      </c>
      <c r="G795" s="17" t="s">
        <v>37</v>
      </c>
      <c r="H795" s="17" t="s">
        <v>29</v>
      </c>
      <c r="I795" s="17" t="s">
        <v>36</v>
      </c>
      <c r="J795" s="8">
        <v>2.8</v>
      </c>
      <c r="K795" s="8">
        <v>3.2</v>
      </c>
      <c r="L795" s="8">
        <f t="shared" si="105"/>
        <v>14.285714285714299</v>
      </c>
      <c r="M795" s="9">
        <v>15</v>
      </c>
      <c r="N795" s="9">
        <v>16</v>
      </c>
      <c r="O795" s="10">
        <f t="shared" si="124"/>
        <v>6.666666666666667</v>
      </c>
      <c r="P795" s="11">
        <v>4.4999999999999998E-2</v>
      </c>
      <c r="Q795" s="11">
        <v>3.5000000000000003E-2</v>
      </c>
      <c r="R795" s="33">
        <f t="shared" si="123"/>
        <v>-22.222222222222214</v>
      </c>
      <c r="S795" s="37">
        <f t="shared" si="125"/>
        <v>1.4471580313422192</v>
      </c>
      <c r="T795" s="37">
        <f t="shared" si="126"/>
        <v>2.1549019599857435</v>
      </c>
      <c r="U795" s="42">
        <f t="shared" si="127"/>
        <v>2.1760912590556813</v>
      </c>
      <c r="V795" s="41">
        <f t="shared" si="128"/>
        <v>1.8239087409443189</v>
      </c>
      <c r="W795" s="43">
        <f t="shared" si="129"/>
        <v>-0.34678748622465638</v>
      </c>
      <c r="X795" s="43" t="e">
        <f t="shared" si="130"/>
        <v>#NUM!</v>
      </c>
    </row>
    <row r="796" spans="1:24" ht="14.25" customHeight="1">
      <c r="A796" s="49"/>
      <c r="B796" s="8">
        <v>2</v>
      </c>
      <c r="C796" s="8">
        <f t="shared" si="122"/>
        <v>1</v>
      </c>
      <c r="D796" s="16" t="s">
        <v>25</v>
      </c>
      <c r="E796" s="22" t="s">
        <v>57</v>
      </c>
      <c r="F796" s="17" t="s">
        <v>34</v>
      </c>
      <c r="G796" s="17" t="s">
        <v>227</v>
      </c>
      <c r="H796" s="17" t="s">
        <v>29</v>
      </c>
      <c r="I796" s="17" t="s">
        <v>36</v>
      </c>
      <c r="J796" s="8">
        <v>2.8</v>
      </c>
      <c r="K796" s="8">
        <v>3.1</v>
      </c>
      <c r="L796" s="8">
        <f t="shared" si="105"/>
        <v>10.714285714285724</v>
      </c>
      <c r="M796" s="9">
        <v>15</v>
      </c>
      <c r="N796" s="9">
        <v>15</v>
      </c>
      <c r="O796" s="10">
        <f>(N796-M796)/M796*100</f>
        <v>0</v>
      </c>
      <c r="P796" s="11">
        <v>4.4999999999999998E-2</v>
      </c>
      <c r="Q796" s="11">
        <v>2.5000000000000001E-2</v>
      </c>
      <c r="R796" s="33">
        <f t="shared" si="123"/>
        <v>-44.444444444444443</v>
      </c>
      <c r="S796" s="37">
        <f t="shared" si="125"/>
        <v>1.4471580313422192</v>
      </c>
      <c r="T796" s="37">
        <f t="shared" si="126"/>
        <v>2.0299632233774436</v>
      </c>
      <c r="U796" s="42">
        <f t="shared" si="127"/>
        <v>2.1760912590556813</v>
      </c>
      <c r="V796" s="41" t="e">
        <f t="shared" si="128"/>
        <v>#NUM!</v>
      </c>
      <c r="W796" s="43">
        <f t="shared" si="129"/>
        <v>-0.34678748622465638</v>
      </c>
      <c r="X796" s="43" t="e">
        <f t="shared" si="130"/>
        <v>#NUM!</v>
      </c>
    </row>
    <row r="797" spans="1:24" ht="14.25" customHeight="1">
      <c r="A797" s="49"/>
      <c r="B797" s="8">
        <v>0.5</v>
      </c>
      <c r="C797" s="8">
        <f t="shared" si="122"/>
        <v>0.25</v>
      </c>
      <c r="D797" s="16" t="s">
        <v>25</v>
      </c>
      <c r="E797" s="22" t="s">
        <v>154</v>
      </c>
      <c r="F797" s="17" t="s">
        <v>34</v>
      </c>
      <c r="G797" s="17" t="s">
        <v>37</v>
      </c>
      <c r="H797" s="17" t="s">
        <v>29</v>
      </c>
      <c r="I797" s="17" t="s">
        <v>36</v>
      </c>
      <c r="J797" s="8">
        <v>0.95</v>
      </c>
      <c r="K797" s="8">
        <v>1.04</v>
      </c>
      <c r="L797" s="8">
        <f t="shared" si="105"/>
        <v>9.4736842105263239</v>
      </c>
      <c r="M797" s="9">
        <v>14</v>
      </c>
      <c r="N797" s="9">
        <v>22</v>
      </c>
      <c r="O797" s="10">
        <f t="shared" si="124"/>
        <v>57.142857142857139</v>
      </c>
      <c r="P797" s="11">
        <v>0.7</v>
      </c>
      <c r="Q797" s="11">
        <v>0.4</v>
      </c>
      <c r="R797" s="33">
        <f t="shared" si="123"/>
        <v>-42.857142857142847</v>
      </c>
      <c r="S797" s="37">
        <f t="shared" si="125"/>
        <v>0.97772360528884772</v>
      </c>
      <c r="T797" s="37">
        <f t="shared" si="126"/>
        <v>1.9765189041504774</v>
      </c>
      <c r="U797" s="42">
        <f t="shared" si="127"/>
        <v>2.1461280356782382</v>
      </c>
      <c r="V797" s="41">
        <f t="shared" si="128"/>
        <v>2.7569619513137056</v>
      </c>
      <c r="W797" s="43">
        <f t="shared" si="129"/>
        <v>0.84509804001425681</v>
      </c>
      <c r="X797" s="43" t="e">
        <f t="shared" si="130"/>
        <v>#NUM!</v>
      </c>
    </row>
    <row r="798" spans="1:24" ht="14.25" customHeight="1">
      <c r="A798" s="49"/>
      <c r="B798" s="8">
        <v>1</v>
      </c>
      <c r="C798" s="8">
        <f t="shared" si="122"/>
        <v>0.5</v>
      </c>
      <c r="D798" s="16" t="s">
        <v>25</v>
      </c>
      <c r="E798" s="22" t="s">
        <v>154</v>
      </c>
      <c r="F798" s="17" t="s">
        <v>34</v>
      </c>
      <c r="G798" s="17" t="s">
        <v>37</v>
      </c>
      <c r="H798" s="17" t="s">
        <v>29</v>
      </c>
      <c r="I798" s="17" t="s">
        <v>36</v>
      </c>
      <c r="J798" s="8">
        <v>0.95</v>
      </c>
      <c r="K798" s="8">
        <v>1.03</v>
      </c>
      <c r="L798" s="8">
        <f t="shared" si="105"/>
        <v>8.4210526315789558</v>
      </c>
      <c r="M798" s="9">
        <v>14</v>
      </c>
      <c r="N798" s="9">
        <v>21</v>
      </c>
      <c r="O798" s="10">
        <f t="shared" si="124"/>
        <v>50</v>
      </c>
      <c r="P798" s="11">
        <v>0.7</v>
      </c>
      <c r="Q798" s="11">
        <v>0.3</v>
      </c>
      <c r="R798" s="33">
        <f t="shared" si="123"/>
        <v>-57.142857142857139</v>
      </c>
      <c r="S798" s="37">
        <f t="shared" si="125"/>
        <v>0.97772360528884772</v>
      </c>
      <c r="T798" s="37">
        <f t="shared" si="126"/>
        <v>1.9253663817030964</v>
      </c>
      <c r="U798" s="42">
        <f t="shared" si="127"/>
        <v>2.1461280356782382</v>
      </c>
      <c r="V798" s="41">
        <f t="shared" si="128"/>
        <v>2.6989700043360187</v>
      </c>
      <c r="W798" s="43">
        <f t="shared" si="129"/>
        <v>0.84509804001425681</v>
      </c>
      <c r="X798" s="43" t="e">
        <f t="shared" si="130"/>
        <v>#NUM!</v>
      </c>
    </row>
    <row r="799" spans="1:24" ht="14.25" customHeight="1">
      <c r="A799" s="50"/>
      <c r="B799" s="8">
        <v>2</v>
      </c>
      <c r="C799" s="8">
        <f t="shared" si="122"/>
        <v>1</v>
      </c>
      <c r="D799" s="16" t="s">
        <v>25</v>
      </c>
      <c r="E799" s="22" t="s">
        <v>154</v>
      </c>
      <c r="F799" s="17" t="s">
        <v>34</v>
      </c>
      <c r="G799" s="17" t="s">
        <v>37</v>
      </c>
      <c r="H799" s="17" t="s">
        <v>29</v>
      </c>
      <c r="I799" s="17" t="s">
        <v>36</v>
      </c>
      <c r="J799" s="8">
        <v>0.95</v>
      </c>
      <c r="K799" s="8">
        <v>1.02</v>
      </c>
      <c r="L799" s="8">
        <f t="shared" si="105"/>
        <v>7.368421052631585</v>
      </c>
      <c r="M799" s="9">
        <v>14</v>
      </c>
      <c r="N799" s="9">
        <v>15</v>
      </c>
      <c r="O799" s="10">
        <f t="shared" si="124"/>
        <v>7.1428571428571423</v>
      </c>
      <c r="P799" s="11">
        <v>0.7</v>
      </c>
      <c r="Q799" s="11">
        <v>0.2</v>
      </c>
      <c r="R799" s="33">
        <f t="shared" si="123"/>
        <v>-71.428571428571431</v>
      </c>
      <c r="S799" s="37">
        <f t="shared" si="125"/>
        <v>0.97772360528884772</v>
      </c>
      <c r="T799" s="37">
        <f t="shared" si="126"/>
        <v>1.8673744347254095</v>
      </c>
      <c r="U799" s="42">
        <f t="shared" si="127"/>
        <v>2.1461280356782382</v>
      </c>
      <c r="V799" s="41">
        <f t="shared" si="128"/>
        <v>1.8538719643217618</v>
      </c>
      <c r="W799" s="43">
        <f t="shared" si="129"/>
        <v>0.84509804001425681</v>
      </c>
      <c r="X799" s="43" t="e">
        <f t="shared" si="130"/>
        <v>#NUM!</v>
      </c>
    </row>
    <row r="800" spans="1:24" ht="14.25" customHeight="1">
      <c r="A800" s="45" t="s">
        <v>269</v>
      </c>
      <c r="B800" s="8">
        <v>3</v>
      </c>
      <c r="C800" s="8">
        <f t="shared" si="122"/>
        <v>1.5</v>
      </c>
      <c r="D800" s="16" t="s">
        <v>42</v>
      </c>
      <c r="E800" s="12" t="s">
        <v>43</v>
      </c>
      <c r="F800" s="17" t="s">
        <v>34</v>
      </c>
      <c r="G800" s="17" t="s">
        <v>37</v>
      </c>
      <c r="H800" s="17" t="s">
        <v>29</v>
      </c>
      <c r="I800" s="17" t="s">
        <v>46</v>
      </c>
      <c r="J800" s="8">
        <v>10.5</v>
      </c>
      <c r="K800" s="8">
        <v>11.5</v>
      </c>
      <c r="L800" s="8">
        <f t="shared" si="105"/>
        <v>9.5238095238095237</v>
      </c>
      <c r="M800" s="9">
        <v>100</v>
      </c>
      <c r="N800" s="9">
        <v>125</v>
      </c>
      <c r="O800" s="10">
        <f t="shared" si="124"/>
        <v>25</v>
      </c>
      <c r="P800" s="11" t="s">
        <v>31</v>
      </c>
      <c r="Q800" s="11" t="s">
        <v>31</v>
      </c>
      <c r="R800" s="11" t="s">
        <v>31</v>
      </c>
      <c r="S800" s="37">
        <f t="shared" si="125"/>
        <v>2.0211892990699383</v>
      </c>
      <c r="T800" s="37">
        <f t="shared" si="126"/>
        <v>1.9788107009300619</v>
      </c>
      <c r="U800" s="42">
        <f t="shared" si="127"/>
        <v>3</v>
      </c>
      <c r="V800" s="41">
        <f t="shared" si="128"/>
        <v>2.3979400086720375</v>
      </c>
      <c r="W800" s="43" t="e">
        <f t="shared" si="129"/>
        <v>#VALUE!</v>
      </c>
      <c r="X800" s="43" t="e">
        <f t="shared" si="130"/>
        <v>#VALUE!</v>
      </c>
    </row>
    <row r="801" spans="1:24" ht="14.25" customHeight="1">
      <c r="A801" s="49"/>
      <c r="B801" s="8">
        <v>5</v>
      </c>
      <c r="C801" s="8">
        <f t="shared" si="122"/>
        <v>2.5</v>
      </c>
      <c r="D801" s="16" t="s">
        <v>42</v>
      </c>
      <c r="E801" s="12" t="s">
        <v>43</v>
      </c>
      <c r="F801" s="17" t="s">
        <v>34</v>
      </c>
      <c r="G801" s="17" t="s">
        <v>37</v>
      </c>
      <c r="H801" s="17" t="s">
        <v>29</v>
      </c>
      <c r="I801" s="17" t="s">
        <v>46</v>
      </c>
      <c r="J801" s="8">
        <v>10.5</v>
      </c>
      <c r="K801" s="8">
        <v>12.5</v>
      </c>
      <c r="L801" s="8">
        <f t="shared" si="105"/>
        <v>19.047619047619047</v>
      </c>
      <c r="M801" s="9">
        <v>100</v>
      </c>
      <c r="N801" s="9">
        <v>129</v>
      </c>
      <c r="O801" s="10">
        <f t="shared" si="124"/>
        <v>28.999999999999996</v>
      </c>
      <c r="P801" s="11" t="s">
        <v>31</v>
      </c>
      <c r="Q801" s="11" t="s">
        <v>31</v>
      </c>
      <c r="R801" s="11" t="s">
        <v>31</v>
      </c>
      <c r="S801" s="37">
        <f t="shared" si="125"/>
        <v>2.0211892990699383</v>
      </c>
      <c r="T801" s="37">
        <f t="shared" si="126"/>
        <v>2.279840696594043</v>
      </c>
      <c r="U801" s="42">
        <f t="shared" si="127"/>
        <v>3</v>
      </c>
      <c r="V801" s="41">
        <f t="shared" si="128"/>
        <v>2.4623979978989561</v>
      </c>
      <c r="W801" s="43" t="e">
        <f t="shared" si="129"/>
        <v>#VALUE!</v>
      </c>
      <c r="X801" s="43" t="e">
        <f t="shared" si="130"/>
        <v>#VALUE!</v>
      </c>
    </row>
    <row r="802" spans="1:24" ht="14.25" customHeight="1">
      <c r="A802" s="45" t="s">
        <v>270</v>
      </c>
      <c r="B802" s="8">
        <v>10</v>
      </c>
      <c r="C802" s="8">
        <f t="shared" si="122"/>
        <v>5</v>
      </c>
      <c r="D802" s="16" t="s">
        <v>61</v>
      </c>
      <c r="E802" s="22" t="s">
        <v>173</v>
      </c>
      <c r="F802" s="17" t="s">
        <v>112</v>
      </c>
      <c r="G802" s="17" t="s">
        <v>214</v>
      </c>
      <c r="H802" s="17" t="s">
        <v>29</v>
      </c>
      <c r="I802" s="17" t="s">
        <v>36</v>
      </c>
      <c r="J802" s="8">
        <v>1.66E-3</v>
      </c>
      <c r="K802" s="8">
        <v>4.4999999999999997E-3</v>
      </c>
      <c r="L802" s="8">
        <f t="shared" si="105"/>
        <v>171.08433734939757</v>
      </c>
      <c r="M802" s="9" t="s">
        <v>31</v>
      </c>
      <c r="N802" s="9" t="s">
        <v>31</v>
      </c>
      <c r="O802" s="9" t="s">
        <v>31</v>
      </c>
      <c r="P802" s="11" t="s">
        <v>31</v>
      </c>
      <c r="Q802" s="11" t="s">
        <v>31</v>
      </c>
      <c r="R802" s="11" t="s">
        <v>31</v>
      </c>
      <c r="S802" s="37">
        <f t="shared" si="125"/>
        <v>-1.779891911959945</v>
      </c>
      <c r="T802" s="37">
        <f t="shared" si="126"/>
        <v>3.2332102520069825</v>
      </c>
      <c r="U802" s="42" t="e">
        <f t="shared" si="127"/>
        <v>#VALUE!</v>
      </c>
      <c r="V802" s="41" t="e">
        <f t="shared" si="128"/>
        <v>#VALUE!</v>
      </c>
      <c r="W802" s="43" t="e">
        <f t="shared" si="129"/>
        <v>#VALUE!</v>
      </c>
      <c r="X802" s="43" t="e">
        <f t="shared" si="130"/>
        <v>#VALUE!</v>
      </c>
    </row>
    <row r="803" spans="1:24" ht="14.25" customHeight="1">
      <c r="A803" s="46"/>
      <c r="B803" s="8">
        <v>20</v>
      </c>
      <c r="C803" s="8">
        <f t="shared" si="122"/>
        <v>10</v>
      </c>
      <c r="D803" s="16" t="s">
        <v>61</v>
      </c>
      <c r="E803" s="22" t="s">
        <v>173</v>
      </c>
      <c r="F803" s="17" t="s">
        <v>112</v>
      </c>
      <c r="G803" s="17" t="s">
        <v>214</v>
      </c>
      <c r="H803" s="17" t="s">
        <v>29</v>
      </c>
      <c r="I803" s="17" t="s">
        <v>36</v>
      </c>
      <c r="J803" s="8">
        <v>1.66E-3</v>
      </c>
      <c r="K803" s="8">
        <v>7.4999999999999997E-3</v>
      </c>
      <c r="L803" s="8">
        <f t="shared" si="105"/>
        <v>351.80722891566262</v>
      </c>
      <c r="M803" s="9" t="s">
        <v>31</v>
      </c>
      <c r="N803" s="9" t="s">
        <v>31</v>
      </c>
      <c r="O803" s="9" t="s">
        <v>31</v>
      </c>
      <c r="P803" s="11" t="s">
        <v>31</v>
      </c>
      <c r="Q803" s="11" t="s">
        <v>31</v>
      </c>
      <c r="R803" s="11" t="s">
        <v>31</v>
      </c>
      <c r="S803" s="37">
        <f t="shared" si="125"/>
        <v>-1.779891911959945</v>
      </c>
      <c r="T803" s="37">
        <f t="shared" si="126"/>
        <v>3.5463047590723442</v>
      </c>
      <c r="U803" s="42" t="e">
        <f t="shared" si="127"/>
        <v>#VALUE!</v>
      </c>
      <c r="V803" s="41" t="e">
        <f t="shared" si="128"/>
        <v>#VALUE!</v>
      </c>
      <c r="W803" s="43" t="e">
        <f t="shared" si="129"/>
        <v>#VALUE!</v>
      </c>
      <c r="X803" s="43" t="e">
        <f t="shared" si="130"/>
        <v>#VALUE!</v>
      </c>
    </row>
    <row r="804" spans="1:24" ht="14.25" customHeight="1">
      <c r="A804" s="46"/>
      <c r="B804" s="8">
        <v>30</v>
      </c>
      <c r="C804" s="8">
        <f t="shared" si="122"/>
        <v>15</v>
      </c>
      <c r="D804" s="16" t="s">
        <v>61</v>
      </c>
      <c r="E804" s="22" t="s">
        <v>173</v>
      </c>
      <c r="F804" s="17" t="s">
        <v>112</v>
      </c>
      <c r="G804" s="17" t="s">
        <v>214</v>
      </c>
      <c r="H804" s="17" t="s">
        <v>29</v>
      </c>
      <c r="I804" s="17" t="s">
        <v>36</v>
      </c>
      <c r="J804" s="8">
        <v>1.66E-3</v>
      </c>
      <c r="K804" s="8">
        <v>9.4999999999999998E-3</v>
      </c>
      <c r="L804" s="8">
        <f t="shared" si="105"/>
        <v>472.28915662650604</v>
      </c>
      <c r="M804" s="9" t="s">
        <v>31</v>
      </c>
      <c r="N804" s="9" t="s">
        <v>31</v>
      </c>
      <c r="O804" s="9" t="s">
        <v>31</v>
      </c>
      <c r="P804" s="11" t="s">
        <v>31</v>
      </c>
      <c r="Q804" s="11" t="s">
        <v>31</v>
      </c>
      <c r="R804" s="11" t="s">
        <v>31</v>
      </c>
      <c r="S804" s="37">
        <f t="shared" si="125"/>
        <v>-1.779891911959945</v>
      </c>
      <c r="T804" s="37">
        <f t="shared" si="126"/>
        <v>3.6742079746443834</v>
      </c>
      <c r="U804" s="42" t="e">
        <f t="shared" si="127"/>
        <v>#VALUE!</v>
      </c>
      <c r="V804" s="41" t="e">
        <f t="shared" si="128"/>
        <v>#VALUE!</v>
      </c>
      <c r="W804" s="43" t="e">
        <f t="shared" si="129"/>
        <v>#VALUE!</v>
      </c>
      <c r="X804" s="43" t="e">
        <f t="shared" si="130"/>
        <v>#VALUE!</v>
      </c>
    </row>
    <row r="805" spans="1:24" ht="14.25" customHeight="1">
      <c r="A805" s="46"/>
      <c r="B805" s="8">
        <v>40</v>
      </c>
      <c r="C805" s="8">
        <f t="shared" si="122"/>
        <v>20</v>
      </c>
      <c r="D805" s="16" t="s">
        <v>61</v>
      </c>
      <c r="E805" s="22" t="s">
        <v>173</v>
      </c>
      <c r="F805" s="17" t="s">
        <v>112</v>
      </c>
      <c r="G805" s="17" t="s">
        <v>214</v>
      </c>
      <c r="H805" s="17" t="s">
        <v>29</v>
      </c>
      <c r="I805" s="17" t="s">
        <v>36</v>
      </c>
      <c r="J805" s="8">
        <v>1.66E-3</v>
      </c>
      <c r="K805" s="8">
        <v>1.2500000000000001E-2</v>
      </c>
      <c r="L805" s="8">
        <f t="shared" si="105"/>
        <v>653.01204819277109</v>
      </c>
      <c r="M805" s="9" t="s">
        <v>31</v>
      </c>
      <c r="N805" s="9" t="s">
        <v>31</v>
      </c>
      <c r="O805" s="9" t="s">
        <v>31</v>
      </c>
      <c r="P805" s="11" t="s">
        <v>31</v>
      </c>
      <c r="Q805" s="11" t="s">
        <v>31</v>
      </c>
      <c r="R805" s="11" t="s">
        <v>31</v>
      </c>
      <c r="S805" s="37">
        <f t="shared" si="125"/>
        <v>-1.779891911959945</v>
      </c>
      <c r="T805" s="37">
        <f t="shared" si="126"/>
        <v>3.8149211941623129</v>
      </c>
      <c r="U805" s="42" t="e">
        <f t="shared" si="127"/>
        <v>#VALUE!</v>
      </c>
      <c r="V805" s="41" t="e">
        <f t="shared" si="128"/>
        <v>#VALUE!</v>
      </c>
      <c r="W805" s="43" t="e">
        <f t="shared" si="129"/>
        <v>#VALUE!</v>
      </c>
      <c r="X805" s="43" t="e">
        <f t="shared" si="130"/>
        <v>#VALUE!</v>
      </c>
    </row>
    <row r="806" spans="1:24" ht="14.25" customHeight="1">
      <c r="A806" s="49"/>
      <c r="B806" s="8">
        <v>10</v>
      </c>
      <c r="C806" s="8">
        <f t="shared" si="122"/>
        <v>5</v>
      </c>
      <c r="D806" s="16" t="s">
        <v>61</v>
      </c>
      <c r="E806" s="22" t="s">
        <v>271</v>
      </c>
      <c r="F806" s="17" t="s">
        <v>112</v>
      </c>
      <c r="G806" s="17" t="s">
        <v>214</v>
      </c>
      <c r="H806" s="17" t="s">
        <v>29</v>
      </c>
      <c r="I806" s="17" t="s">
        <v>36</v>
      </c>
      <c r="J806" s="8">
        <v>2.1199999999999999E-3</v>
      </c>
      <c r="K806" s="8">
        <v>6.4999999999999997E-3</v>
      </c>
      <c r="L806" s="8">
        <f t="shared" si="105"/>
        <v>206.6037735849057</v>
      </c>
      <c r="M806" s="9" t="s">
        <v>31</v>
      </c>
      <c r="N806" s="9" t="s">
        <v>31</v>
      </c>
      <c r="O806" s="9" t="s">
        <v>31</v>
      </c>
      <c r="P806" s="11" t="s">
        <v>31</v>
      </c>
      <c r="Q806" s="11" t="s">
        <v>31</v>
      </c>
      <c r="R806" s="11" t="s">
        <v>31</v>
      </c>
      <c r="S806" s="37">
        <f t="shared" si="125"/>
        <v>-1.6736641390712486</v>
      </c>
      <c r="T806" s="37">
        <f t="shared" si="126"/>
        <v>3.3151382495753481</v>
      </c>
      <c r="U806" s="42" t="e">
        <f t="shared" si="127"/>
        <v>#VALUE!</v>
      </c>
      <c r="V806" s="41" t="e">
        <f t="shared" si="128"/>
        <v>#VALUE!</v>
      </c>
      <c r="W806" s="43" t="e">
        <f t="shared" si="129"/>
        <v>#VALUE!</v>
      </c>
      <c r="X806" s="43" t="e">
        <f t="shared" si="130"/>
        <v>#VALUE!</v>
      </c>
    </row>
    <row r="807" spans="1:24" ht="14.25" customHeight="1">
      <c r="A807" s="49"/>
      <c r="B807" s="8">
        <v>20</v>
      </c>
      <c r="C807" s="8">
        <f t="shared" si="122"/>
        <v>10</v>
      </c>
      <c r="D807" s="16" t="s">
        <v>61</v>
      </c>
      <c r="E807" s="22" t="s">
        <v>271</v>
      </c>
      <c r="F807" s="17" t="s">
        <v>112</v>
      </c>
      <c r="G807" s="17" t="s">
        <v>214</v>
      </c>
      <c r="H807" s="17" t="s">
        <v>29</v>
      </c>
      <c r="I807" s="17" t="s">
        <v>36</v>
      </c>
      <c r="J807" s="8">
        <v>2.1199999999999999E-3</v>
      </c>
      <c r="K807" s="8">
        <v>1.15E-2</v>
      </c>
      <c r="L807" s="8">
        <f t="shared" si="105"/>
        <v>442.45283018867923</v>
      </c>
      <c r="M807" s="9" t="s">
        <v>31</v>
      </c>
      <c r="N807" s="9" t="s">
        <v>31</v>
      </c>
      <c r="O807" s="9" t="s">
        <v>31</v>
      </c>
      <c r="P807" s="11" t="s">
        <v>31</v>
      </c>
      <c r="Q807" s="11" t="s">
        <v>31</v>
      </c>
      <c r="R807" s="11" t="s">
        <v>31</v>
      </c>
      <c r="S807" s="37">
        <f t="shared" si="125"/>
        <v>-1.6736641390712486</v>
      </c>
      <c r="T807" s="37">
        <f t="shared" si="126"/>
        <v>3.645866977450313</v>
      </c>
      <c r="U807" s="42" t="e">
        <f t="shared" si="127"/>
        <v>#VALUE!</v>
      </c>
      <c r="V807" s="41" t="e">
        <f t="shared" si="128"/>
        <v>#VALUE!</v>
      </c>
      <c r="W807" s="43" t="e">
        <f t="shared" si="129"/>
        <v>#VALUE!</v>
      </c>
      <c r="X807" s="43" t="e">
        <f t="shared" si="130"/>
        <v>#VALUE!</v>
      </c>
    </row>
    <row r="808" spans="1:24" ht="14.25" customHeight="1">
      <c r="A808" s="49"/>
      <c r="B808" s="8">
        <v>30</v>
      </c>
      <c r="C808" s="8">
        <f t="shared" si="122"/>
        <v>15</v>
      </c>
      <c r="D808" s="16" t="s">
        <v>61</v>
      </c>
      <c r="E808" s="22" t="s">
        <v>271</v>
      </c>
      <c r="F808" s="17" t="s">
        <v>112</v>
      </c>
      <c r="G808" s="17" t="s">
        <v>214</v>
      </c>
      <c r="H808" s="17" t="s">
        <v>29</v>
      </c>
      <c r="I808" s="17" t="s">
        <v>36</v>
      </c>
      <c r="J808" s="8">
        <v>2.1199999999999999E-3</v>
      </c>
      <c r="K808" s="8">
        <v>1.4999999999999999E-2</v>
      </c>
      <c r="L808" s="8">
        <f t="shared" si="105"/>
        <v>607.54716981132071</v>
      </c>
      <c r="M808" s="9" t="s">
        <v>31</v>
      </c>
      <c r="N808" s="9" t="s">
        <v>31</v>
      </c>
      <c r="O808" s="9" t="s">
        <v>31</v>
      </c>
      <c r="P808" s="11" t="s">
        <v>31</v>
      </c>
      <c r="Q808" s="11" t="s">
        <v>31</v>
      </c>
      <c r="R808" s="11" t="s">
        <v>31</v>
      </c>
      <c r="S808" s="37">
        <f t="shared" si="125"/>
        <v>-1.6736641390712486</v>
      </c>
      <c r="T808" s="37">
        <f t="shared" si="126"/>
        <v>3.7835800020950416</v>
      </c>
      <c r="U808" s="42" t="e">
        <f t="shared" si="127"/>
        <v>#VALUE!</v>
      </c>
      <c r="V808" s="41" t="e">
        <f t="shared" si="128"/>
        <v>#VALUE!</v>
      </c>
      <c r="W808" s="43" t="e">
        <f t="shared" si="129"/>
        <v>#VALUE!</v>
      </c>
      <c r="X808" s="43" t="e">
        <f t="shared" si="130"/>
        <v>#VALUE!</v>
      </c>
    </row>
    <row r="809" spans="1:24" ht="14.25" customHeight="1">
      <c r="A809" s="50"/>
      <c r="B809" s="8">
        <v>40</v>
      </c>
      <c r="C809" s="8">
        <f t="shared" si="122"/>
        <v>20</v>
      </c>
      <c r="D809" s="16" t="s">
        <v>61</v>
      </c>
      <c r="E809" s="22" t="s">
        <v>271</v>
      </c>
      <c r="F809" s="17" t="s">
        <v>112</v>
      </c>
      <c r="G809" s="17" t="s">
        <v>214</v>
      </c>
      <c r="H809" s="17" t="s">
        <v>29</v>
      </c>
      <c r="I809" s="17" t="s">
        <v>36</v>
      </c>
      <c r="J809" s="8">
        <v>2.1199999999999999E-3</v>
      </c>
      <c r="K809" s="8">
        <v>1.95E-2</v>
      </c>
      <c r="L809" s="8">
        <f t="shared" si="105"/>
        <v>819.81132075471703</v>
      </c>
      <c r="M809" s="9" t="s">
        <v>31</v>
      </c>
      <c r="N809" s="9" t="s">
        <v>31</v>
      </c>
      <c r="O809" s="9" t="s">
        <v>31</v>
      </c>
      <c r="P809" s="11" t="s">
        <v>31</v>
      </c>
      <c r="Q809" s="11" t="s">
        <v>31</v>
      </c>
      <c r="R809" s="11" t="s">
        <v>31</v>
      </c>
      <c r="S809" s="37">
        <f t="shared" si="125"/>
        <v>-1.6736641390712486</v>
      </c>
      <c r="T809" s="37">
        <f t="shared" si="126"/>
        <v>3.9137139111838963</v>
      </c>
      <c r="U809" s="42" t="e">
        <f t="shared" si="127"/>
        <v>#VALUE!</v>
      </c>
      <c r="V809" s="41" t="e">
        <f t="shared" si="128"/>
        <v>#VALUE!</v>
      </c>
      <c r="W809" s="43" t="e">
        <f t="shared" si="129"/>
        <v>#VALUE!</v>
      </c>
      <c r="X809" s="43" t="e">
        <f t="shared" si="130"/>
        <v>#VALUE!</v>
      </c>
    </row>
    <row r="810" spans="1:24" ht="14.25" customHeight="1">
      <c r="A810" s="48" t="s">
        <v>272</v>
      </c>
      <c r="B810" s="8">
        <v>2.5</v>
      </c>
      <c r="C810" s="8">
        <f t="shared" si="122"/>
        <v>1.25</v>
      </c>
      <c r="D810" s="16" t="s">
        <v>25</v>
      </c>
      <c r="E810" s="12" t="s">
        <v>58</v>
      </c>
      <c r="F810" s="17" t="s">
        <v>34</v>
      </c>
      <c r="G810" s="17" t="s">
        <v>35</v>
      </c>
      <c r="H810" s="17" t="s">
        <v>29</v>
      </c>
      <c r="I810" s="17" t="s">
        <v>36</v>
      </c>
      <c r="J810" s="8">
        <v>1.1000000000000001</v>
      </c>
      <c r="K810" s="8">
        <v>4.4800000000000004</v>
      </c>
      <c r="L810" s="8">
        <f t="shared" si="105"/>
        <v>307.27272727272725</v>
      </c>
      <c r="M810" s="9">
        <v>69</v>
      </c>
      <c r="N810" s="9">
        <v>87</v>
      </c>
      <c r="O810" s="10">
        <f t="shared" si="124"/>
        <v>26.086956521739129</v>
      </c>
      <c r="P810" s="11">
        <v>1</v>
      </c>
      <c r="Q810" s="11">
        <v>0.1</v>
      </c>
      <c r="R810" s="33">
        <f t="shared" ref="R810:R881" si="131">((Q810-P810)/P810)*100</f>
        <v>-90</v>
      </c>
      <c r="S810" s="37">
        <f t="shared" si="125"/>
        <v>1.0413926851582251</v>
      </c>
      <c r="T810" s="37">
        <f t="shared" si="126"/>
        <v>3.4875240151194298</v>
      </c>
      <c r="U810" s="42">
        <f t="shared" si="127"/>
        <v>2.8388490907372552</v>
      </c>
      <c r="V810" s="41">
        <f t="shared" si="128"/>
        <v>2.4164234143660508</v>
      </c>
      <c r="W810" s="43">
        <f t="shared" si="129"/>
        <v>1</v>
      </c>
      <c r="X810" s="43" t="e">
        <f t="shared" si="130"/>
        <v>#NUM!</v>
      </c>
    </row>
    <row r="811" spans="1:24" ht="14.25" customHeight="1">
      <c r="A811" s="49"/>
      <c r="B811" s="8">
        <v>5</v>
      </c>
      <c r="C811" s="8">
        <f t="shared" si="122"/>
        <v>2.5</v>
      </c>
      <c r="D811" s="16" t="s">
        <v>25</v>
      </c>
      <c r="E811" s="12" t="s">
        <v>58</v>
      </c>
      <c r="F811" s="17" t="s">
        <v>34</v>
      </c>
      <c r="G811" s="17" t="s">
        <v>35</v>
      </c>
      <c r="H811" s="17" t="s">
        <v>29</v>
      </c>
      <c r="I811" s="17" t="s">
        <v>36</v>
      </c>
      <c r="J811" s="8">
        <v>1.1000000000000001</v>
      </c>
      <c r="K811" s="8">
        <v>5.85</v>
      </c>
      <c r="L811" s="8">
        <f t="shared" si="105"/>
        <v>431.81818181818176</v>
      </c>
      <c r="M811" s="9">
        <v>69</v>
      </c>
      <c r="N811" s="9">
        <v>82</v>
      </c>
      <c r="O811" s="10">
        <f t="shared" si="124"/>
        <v>18.840579710144929</v>
      </c>
      <c r="P811" s="11">
        <v>1</v>
      </c>
      <c r="Q811" s="11">
        <v>0.05</v>
      </c>
      <c r="R811" s="33">
        <f t="shared" si="131"/>
        <v>-95</v>
      </c>
      <c r="S811" s="37">
        <f t="shared" si="125"/>
        <v>1.0413926851582251</v>
      </c>
      <c r="T811" s="37">
        <f t="shared" si="126"/>
        <v>3.6353009244666414</v>
      </c>
      <c r="U811" s="42">
        <f t="shared" si="127"/>
        <v>2.8388490907372552</v>
      </c>
      <c r="V811" s="41">
        <f t="shared" si="128"/>
        <v>2.2750942615695817</v>
      </c>
      <c r="W811" s="43">
        <f t="shared" si="129"/>
        <v>1</v>
      </c>
      <c r="X811" s="43" t="e">
        <f t="shared" si="130"/>
        <v>#NUM!</v>
      </c>
    </row>
    <row r="812" spans="1:24" ht="14.25" customHeight="1">
      <c r="A812" s="49"/>
      <c r="B812" s="8">
        <v>2.5</v>
      </c>
      <c r="C812" s="8">
        <f t="shared" si="122"/>
        <v>1.25</v>
      </c>
      <c r="D812" s="16" t="s">
        <v>25</v>
      </c>
      <c r="E812" s="12" t="s">
        <v>58</v>
      </c>
      <c r="F812" s="17" t="s">
        <v>34</v>
      </c>
      <c r="G812" s="17" t="s">
        <v>37</v>
      </c>
      <c r="H812" s="17" t="s">
        <v>29</v>
      </c>
      <c r="I812" s="17" t="s">
        <v>36</v>
      </c>
      <c r="J812" s="8">
        <v>1.1000000000000001</v>
      </c>
      <c r="K812" s="8">
        <v>3.38</v>
      </c>
      <c r="L812" s="8">
        <f t="shared" si="105"/>
        <v>207.27272727272722</v>
      </c>
      <c r="M812" s="9">
        <v>69</v>
      </c>
      <c r="N812" s="9">
        <v>75</v>
      </c>
      <c r="O812" s="10">
        <f t="shared" si="124"/>
        <v>8.695652173913043</v>
      </c>
      <c r="P812" s="11">
        <v>1</v>
      </c>
      <c r="Q812" s="11">
        <v>1</v>
      </c>
      <c r="R812" s="33">
        <f t="shared" si="131"/>
        <v>0</v>
      </c>
      <c r="S812" s="37">
        <f t="shared" si="125"/>
        <v>1.0413926851582251</v>
      </c>
      <c r="T812" s="37">
        <f t="shared" si="126"/>
        <v>3.3165421618422286</v>
      </c>
      <c r="U812" s="42">
        <f t="shared" si="127"/>
        <v>2.8388490907372552</v>
      </c>
      <c r="V812" s="41">
        <f t="shared" si="128"/>
        <v>1.9393021596463884</v>
      </c>
      <c r="W812" s="43">
        <f t="shared" si="129"/>
        <v>1</v>
      </c>
      <c r="X812" s="43" t="e">
        <f t="shared" si="130"/>
        <v>#NUM!</v>
      </c>
    </row>
    <row r="813" spans="1:24" ht="14.25" customHeight="1">
      <c r="A813" s="49"/>
      <c r="B813" s="8">
        <v>5</v>
      </c>
      <c r="C813" s="8">
        <f t="shared" si="122"/>
        <v>2.5</v>
      </c>
      <c r="D813" s="16" t="s">
        <v>25</v>
      </c>
      <c r="E813" s="12" t="s">
        <v>58</v>
      </c>
      <c r="F813" s="17" t="s">
        <v>34</v>
      </c>
      <c r="G813" s="17" t="s">
        <v>37</v>
      </c>
      <c r="H813" s="17" t="s">
        <v>29</v>
      </c>
      <c r="I813" s="17" t="s">
        <v>36</v>
      </c>
      <c r="J813" s="8">
        <v>1.1000000000000001</v>
      </c>
      <c r="K813" s="8">
        <v>3.8</v>
      </c>
      <c r="L813" s="8">
        <f t="shared" si="105"/>
        <v>245.45454545454541</v>
      </c>
      <c r="M813" s="9">
        <v>69</v>
      </c>
      <c r="N813" s="9">
        <v>65</v>
      </c>
      <c r="O813" s="10">
        <f t="shared" si="124"/>
        <v>-5.7971014492753623</v>
      </c>
      <c r="P813" s="11">
        <v>1</v>
      </c>
      <c r="Q813" s="11">
        <v>1</v>
      </c>
      <c r="R813" s="33">
        <f t="shared" si="131"/>
        <v>0</v>
      </c>
      <c r="S813" s="37">
        <f t="shared" si="125"/>
        <v>1.0413926851582251</v>
      </c>
      <c r="T813" s="37">
        <f t="shared" si="126"/>
        <v>3.389971079000762</v>
      </c>
      <c r="U813" s="42">
        <f t="shared" si="127"/>
        <v>2.8388490907372552</v>
      </c>
      <c r="V813" s="41" t="e">
        <f t="shared" si="128"/>
        <v>#NUM!</v>
      </c>
      <c r="W813" s="43">
        <f t="shared" si="129"/>
        <v>1</v>
      </c>
      <c r="X813" s="43" t="e">
        <f t="shared" si="130"/>
        <v>#NUM!</v>
      </c>
    </row>
    <row r="814" spans="1:24" ht="14.25" customHeight="1">
      <c r="A814" s="50"/>
      <c r="B814" s="8">
        <v>2</v>
      </c>
      <c r="C814" s="8">
        <f t="shared" si="122"/>
        <v>1</v>
      </c>
      <c r="D814" s="16" t="s">
        <v>25</v>
      </c>
      <c r="E814" s="12" t="s">
        <v>58</v>
      </c>
      <c r="F814" s="17" t="s">
        <v>34</v>
      </c>
      <c r="G814" s="17" t="s">
        <v>28</v>
      </c>
      <c r="H814" s="17" t="s">
        <v>29</v>
      </c>
      <c r="I814" s="17" t="s">
        <v>36</v>
      </c>
      <c r="J814" s="8">
        <v>2.4</v>
      </c>
      <c r="K814" s="8">
        <v>4.7</v>
      </c>
      <c r="L814" s="8">
        <f t="shared" si="105"/>
        <v>95.833333333333343</v>
      </c>
      <c r="M814" s="9">
        <v>69</v>
      </c>
      <c r="N814" s="9">
        <v>106</v>
      </c>
      <c r="O814" s="10">
        <f t="shared" si="124"/>
        <v>53.623188405797109</v>
      </c>
      <c r="P814" s="11">
        <v>6.7</v>
      </c>
      <c r="Q814" s="11">
        <v>0.03</v>
      </c>
      <c r="R814" s="33">
        <f t="shared" si="131"/>
        <v>-99.552238805970148</v>
      </c>
      <c r="S814" s="37">
        <f t="shared" si="125"/>
        <v>1.3802112417116059</v>
      </c>
      <c r="T814" s="37">
        <f t="shared" si="126"/>
        <v>2.9815165943059871</v>
      </c>
      <c r="U814" s="42">
        <f t="shared" si="127"/>
        <v>2.8388490907372552</v>
      </c>
      <c r="V814" s="41">
        <f t="shared" si="128"/>
        <v>2.7293526333297398</v>
      </c>
      <c r="W814" s="43">
        <f t="shared" si="129"/>
        <v>1.8260748027008264</v>
      </c>
      <c r="X814" s="43" t="e">
        <f t="shared" si="130"/>
        <v>#NUM!</v>
      </c>
    </row>
    <row r="815" spans="1:24" ht="15" customHeight="1">
      <c r="A815" s="45" t="s">
        <v>273</v>
      </c>
      <c r="B815" s="8">
        <v>4.7</v>
      </c>
      <c r="C815" s="8">
        <f t="shared" si="122"/>
        <v>2.35</v>
      </c>
      <c r="D815" s="16" t="s">
        <v>25</v>
      </c>
      <c r="E815" s="22" t="s">
        <v>107</v>
      </c>
      <c r="F815" s="17" t="s">
        <v>34</v>
      </c>
      <c r="G815" s="17" t="s">
        <v>28</v>
      </c>
      <c r="H815" s="17" t="s">
        <v>29</v>
      </c>
      <c r="I815" s="17" t="s">
        <v>36</v>
      </c>
      <c r="J815" s="8">
        <v>1.1100000000000001</v>
      </c>
      <c r="K815" s="8">
        <v>2.25</v>
      </c>
      <c r="L815" s="8">
        <f t="shared" si="105"/>
        <v>102.70270270270268</v>
      </c>
      <c r="M815" s="9">
        <v>68.599999999999994</v>
      </c>
      <c r="N815" s="9">
        <v>102</v>
      </c>
      <c r="O815" s="10">
        <f t="shared" si="124"/>
        <v>48.68804664723033</v>
      </c>
      <c r="P815" s="11" t="s">
        <v>31</v>
      </c>
      <c r="Q815" s="11" t="s">
        <v>31</v>
      </c>
      <c r="R815" s="11" t="s">
        <v>31</v>
      </c>
      <c r="S815" s="37">
        <f t="shared" si="125"/>
        <v>1.0453229787866576</v>
      </c>
      <c r="T815" s="37">
        <f t="shared" si="126"/>
        <v>3.0115818725498151</v>
      </c>
      <c r="U815" s="42">
        <f t="shared" si="127"/>
        <v>2.8363241157067516</v>
      </c>
      <c r="V815" s="41">
        <f t="shared" si="128"/>
        <v>2.687422351104813</v>
      </c>
      <c r="W815" s="43" t="e">
        <f t="shared" si="129"/>
        <v>#VALUE!</v>
      </c>
      <c r="X815" s="43" t="e">
        <f t="shared" si="130"/>
        <v>#VALUE!</v>
      </c>
    </row>
    <row r="816" spans="1:24" ht="15" customHeight="1">
      <c r="A816" s="46"/>
      <c r="B816" s="8">
        <v>4.7</v>
      </c>
      <c r="C816" s="8">
        <f t="shared" si="122"/>
        <v>2.35</v>
      </c>
      <c r="D816" s="16" t="s">
        <v>25</v>
      </c>
      <c r="E816" s="22" t="s">
        <v>107</v>
      </c>
      <c r="F816" s="17" t="s">
        <v>34</v>
      </c>
      <c r="G816" s="17" t="s">
        <v>28</v>
      </c>
      <c r="H816" s="17" t="s">
        <v>29</v>
      </c>
      <c r="I816" s="17" t="s">
        <v>36</v>
      </c>
      <c r="J816" s="8">
        <v>0.19</v>
      </c>
      <c r="K816" s="8">
        <v>0.67</v>
      </c>
      <c r="L816" s="8">
        <f t="shared" si="105"/>
        <v>252.63157894736844</v>
      </c>
      <c r="M816" s="9">
        <v>26.6</v>
      </c>
      <c r="N816" s="9">
        <v>34.700000000000003</v>
      </c>
      <c r="O816" s="10">
        <f t="shared" si="124"/>
        <v>30.451127819548873</v>
      </c>
      <c r="P816" s="11" t="s">
        <v>31</v>
      </c>
      <c r="Q816" s="11" t="s">
        <v>31</v>
      </c>
      <c r="R816" s="11" t="s">
        <v>31</v>
      </c>
      <c r="S816" s="37">
        <f t="shared" si="125"/>
        <v>0.27875360095282892</v>
      </c>
      <c r="T816" s="37">
        <f t="shared" si="126"/>
        <v>3.4024876364227583</v>
      </c>
      <c r="U816" s="42">
        <f t="shared" si="127"/>
        <v>2.424881636631067</v>
      </c>
      <c r="V816" s="41">
        <f t="shared" si="128"/>
        <v>2.4836033822475829</v>
      </c>
      <c r="W816" s="43" t="e">
        <f t="shared" si="129"/>
        <v>#VALUE!</v>
      </c>
      <c r="X816" s="43" t="e">
        <f t="shared" si="130"/>
        <v>#VALUE!</v>
      </c>
    </row>
    <row r="817" spans="1:24" ht="15" customHeight="1">
      <c r="A817" s="46"/>
      <c r="B817" s="8">
        <v>3.2</v>
      </c>
      <c r="C817" s="8">
        <f t="shared" si="122"/>
        <v>1.6</v>
      </c>
      <c r="D817" s="16" t="s">
        <v>25</v>
      </c>
      <c r="E817" s="22" t="s">
        <v>107</v>
      </c>
      <c r="F817" s="17" t="s">
        <v>34</v>
      </c>
      <c r="G817" s="17" t="s">
        <v>35</v>
      </c>
      <c r="H817" s="17" t="s">
        <v>29</v>
      </c>
      <c r="I817" s="17" t="s">
        <v>36</v>
      </c>
      <c r="J817" s="8">
        <v>2.82</v>
      </c>
      <c r="K817" s="8">
        <v>3.65</v>
      </c>
      <c r="L817" s="8">
        <f t="shared" si="105"/>
        <v>29.432624113475182</v>
      </c>
      <c r="M817" s="9">
        <v>69.2</v>
      </c>
      <c r="N817" s="9">
        <v>78.900000000000006</v>
      </c>
      <c r="O817" s="10">
        <f t="shared" si="124"/>
        <v>14.01734104046243</v>
      </c>
      <c r="P817" s="11">
        <v>1</v>
      </c>
      <c r="Q817" s="11">
        <v>5.1999999999999998E-2</v>
      </c>
      <c r="R817" s="33">
        <f t="shared" si="131"/>
        <v>-94.8</v>
      </c>
      <c r="S817" s="37">
        <f t="shared" si="125"/>
        <v>1.4502491083193612</v>
      </c>
      <c r="T817" s="37">
        <f t="shared" si="126"/>
        <v>2.4688289840567128</v>
      </c>
      <c r="U817" s="42">
        <f t="shared" si="127"/>
        <v>2.840106094456758</v>
      </c>
      <c r="V817" s="41">
        <f t="shared" si="128"/>
        <v>2.1466656398094872</v>
      </c>
      <c r="W817" s="43">
        <f t="shared" si="129"/>
        <v>1</v>
      </c>
      <c r="X817" s="43" t="e">
        <f t="shared" si="130"/>
        <v>#NUM!</v>
      </c>
    </row>
    <row r="818" spans="1:24" ht="15" customHeight="1">
      <c r="A818" s="46"/>
      <c r="B818" s="8">
        <v>6.4</v>
      </c>
      <c r="C818" s="8">
        <f t="shared" si="122"/>
        <v>3.2</v>
      </c>
      <c r="D818" s="16" t="s">
        <v>25</v>
      </c>
      <c r="E818" s="22" t="s">
        <v>107</v>
      </c>
      <c r="F818" s="17" t="s">
        <v>34</v>
      </c>
      <c r="G818" s="17" t="s">
        <v>35</v>
      </c>
      <c r="H818" s="17" t="s">
        <v>29</v>
      </c>
      <c r="I818" s="17" t="s">
        <v>36</v>
      </c>
      <c r="J818" s="8">
        <v>2.82</v>
      </c>
      <c r="K818" s="8">
        <v>4.92</v>
      </c>
      <c r="L818" s="8">
        <f t="shared" si="105"/>
        <v>74.468085106382986</v>
      </c>
      <c r="M818" s="9">
        <v>69.2</v>
      </c>
      <c r="N818" s="9">
        <v>83.6</v>
      </c>
      <c r="O818" s="10">
        <f t="shared" si="124"/>
        <v>20.809248554913282</v>
      </c>
      <c r="P818" s="11">
        <v>1</v>
      </c>
      <c r="Q818" s="11">
        <v>0.01</v>
      </c>
      <c r="R818" s="33">
        <f t="shared" si="131"/>
        <v>-99</v>
      </c>
      <c r="S818" s="37">
        <f t="shared" si="125"/>
        <v>1.4502491083193612</v>
      </c>
      <c r="T818" s="37">
        <f t="shared" si="126"/>
        <v>2.8719701864145581</v>
      </c>
      <c r="U818" s="42">
        <f t="shared" si="127"/>
        <v>2.840106094456758</v>
      </c>
      <c r="V818" s="41">
        <f t="shared" si="128"/>
        <v>2.3182563976384918</v>
      </c>
      <c r="W818" s="43">
        <f t="shared" si="129"/>
        <v>1</v>
      </c>
      <c r="X818" s="43" t="e">
        <f t="shared" si="130"/>
        <v>#NUM!</v>
      </c>
    </row>
    <row r="819" spans="1:24" ht="15" customHeight="1">
      <c r="A819" s="46"/>
      <c r="B819" s="8">
        <v>3.1</v>
      </c>
      <c r="C819" s="8">
        <f t="shared" si="122"/>
        <v>1.55</v>
      </c>
      <c r="D819" s="16" t="s">
        <v>25</v>
      </c>
      <c r="E819" s="22" t="s">
        <v>107</v>
      </c>
      <c r="F819" s="17" t="s">
        <v>34</v>
      </c>
      <c r="G819" s="17" t="s">
        <v>28</v>
      </c>
      <c r="H819" s="17" t="s">
        <v>29</v>
      </c>
      <c r="I819" s="17" t="s">
        <v>36</v>
      </c>
      <c r="J819" s="8">
        <v>2.71</v>
      </c>
      <c r="K819" s="8">
        <v>3.66</v>
      </c>
      <c r="L819" s="8">
        <f t="shared" si="105"/>
        <v>35.055350553505541</v>
      </c>
      <c r="M819" s="9">
        <v>70.2</v>
      </c>
      <c r="N819" s="9">
        <v>86.6</v>
      </c>
      <c r="O819" s="10">
        <f t="shared" si="124"/>
        <v>23.361823361823351</v>
      </c>
      <c r="P819" s="11">
        <v>1</v>
      </c>
      <c r="Q819" s="11">
        <v>0.30099999999999999</v>
      </c>
      <c r="R819" s="33">
        <f t="shared" si="131"/>
        <v>-69.900000000000006</v>
      </c>
      <c r="S819" s="37">
        <f t="shared" si="125"/>
        <v>1.4329692908744058</v>
      </c>
      <c r="T819" s="37">
        <f t="shared" si="126"/>
        <v>2.5447543144144422</v>
      </c>
      <c r="U819" s="42">
        <f t="shared" si="127"/>
        <v>2.8463371121298051</v>
      </c>
      <c r="V819" s="41">
        <f t="shared" si="128"/>
        <v>2.3685067359178924</v>
      </c>
      <c r="W819" s="43">
        <f t="shared" si="129"/>
        <v>1</v>
      </c>
      <c r="X819" s="43" t="e">
        <f t="shared" si="130"/>
        <v>#NUM!</v>
      </c>
    </row>
    <row r="820" spans="1:24" ht="15" customHeight="1">
      <c r="A820" s="49"/>
      <c r="B820" s="8">
        <v>7.1</v>
      </c>
      <c r="C820" s="8">
        <f t="shared" si="122"/>
        <v>3.55</v>
      </c>
      <c r="D820" s="16" t="s">
        <v>25</v>
      </c>
      <c r="E820" s="22" t="s">
        <v>107</v>
      </c>
      <c r="F820" s="17" t="s">
        <v>34</v>
      </c>
      <c r="G820" s="17" t="s">
        <v>28</v>
      </c>
      <c r="H820" s="17" t="s">
        <v>29</v>
      </c>
      <c r="I820" s="17" t="s">
        <v>36</v>
      </c>
      <c r="J820" s="8">
        <v>2.71</v>
      </c>
      <c r="K820" s="8">
        <v>5.61</v>
      </c>
      <c r="L820" s="8">
        <f t="shared" si="105"/>
        <v>107.01107011070113</v>
      </c>
      <c r="M820" s="9">
        <v>70.2</v>
      </c>
      <c r="N820" s="9">
        <v>95.2</v>
      </c>
      <c r="O820" s="10">
        <f t="shared" si="124"/>
        <v>35.612535612535609</v>
      </c>
      <c r="P820" s="11">
        <v>1</v>
      </c>
      <c r="Q820" s="11">
        <v>8.9999999999999993E-3</v>
      </c>
      <c r="R820" s="33">
        <f t="shared" si="131"/>
        <v>-99.1</v>
      </c>
      <c r="S820" s="37">
        <f t="shared" si="125"/>
        <v>1.4329692908744058</v>
      </c>
      <c r="T820" s="37">
        <f t="shared" si="126"/>
        <v>3.0294287070245502</v>
      </c>
      <c r="U820" s="42">
        <f t="shared" si="127"/>
        <v>2.8463371121298051</v>
      </c>
      <c r="V820" s="41">
        <f t="shared" si="128"/>
        <v>2.5516028965422324</v>
      </c>
      <c r="W820" s="43">
        <f t="shared" si="129"/>
        <v>1</v>
      </c>
      <c r="X820" s="43" t="e">
        <f t="shared" si="130"/>
        <v>#NUM!</v>
      </c>
    </row>
    <row r="821" spans="1:24" ht="15" customHeight="1">
      <c r="A821" s="49"/>
      <c r="B821" s="8">
        <v>3.2</v>
      </c>
      <c r="C821" s="8">
        <f t="shared" si="122"/>
        <v>1.6</v>
      </c>
      <c r="D821" s="16" t="s">
        <v>25</v>
      </c>
      <c r="E821" s="22" t="s">
        <v>107</v>
      </c>
      <c r="F821" s="17" t="s">
        <v>34</v>
      </c>
      <c r="G821" s="17" t="s">
        <v>28</v>
      </c>
      <c r="H821" s="17" t="s">
        <v>29</v>
      </c>
      <c r="I821" s="17" t="s">
        <v>36</v>
      </c>
      <c r="J821" s="8">
        <v>2.75</v>
      </c>
      <c r="K821" s="8">
        <v>3.92</v>
      </c>
      <c r="L821" s="8">
        <f t="shared" si="105"/>
        <v>42.54545454545454</v>
      </c>
      <c r="M821" s="9">
        <v>69.7</v>
      </c>
      <c r="N821" s="9">
        <v>84.9</v>
      </c>
      <c r="O821" s="10">
        <f t="shared" si="124"/>
        <v>21.807747489239603</v>
      </c>
      <c r="P821" s="11">
        <v>1</v>
      </c>
      <c r="Q821" s="11">
        <v>0.35</v>
      </c>
      <c r="R821" s="33">
        <f t="shared" si="131"/>
        <v>-65</v>
      </c>
      <c r="S821" s="37">
        <f t="shared" si="125"/>
        <v>1.4393326938302626</v>
      </c>
      <c r="T821" s="37">
        <f t="shared" si="126"/>
        <v>2.6288531679158988</v>
      </c>
      <c r="U821" s="42">
        <f t="shared" si="127"/>
        <v>2.8432327780980096</v>
      </c>
      <c r="V821" s="41">
        <f t="shared" si="128"/>
        <v>2.3386108098467631</v>
      </c>
      <c r="W821" s="43">
        <f t="shared" si="129"/>
        <v>1</v>
      </c>
      <c r="X821" s="43" t="e">
        <f t="shared" si="130"/>
        <v>#NUM!</v>
      </c>
    </row>
    <row r="822" spans="1:24" ht="15" customHeight="1">
      <c r="A822" s="49"/>
      <c r="B822" s="8">
        <v>7.2</v>
      </c>
      <c r="C822" s="8">
        <f t="shared" si="122"/>
        <v>3.6</v>
      </c>
      <c r="D822" s="16" t="s">
        <v>25</v>
      </c>
      <c r="E822" s="22" t="s">
        <v>107</v>
      </c>
      <c r="F822" s="17" t="s">
        <v>34</v>
      </c>
      <c r="G822" s="17" t="s">
        <v>28</v>
      </c>
      <c r="H822" s="17" t="s">
        <v>29</v>
      </c>
      <c r="I822" s="17" t="s">
        <v>36</v>
      </c>
      <c r="J822" s="8">
        <v>2.75</v>
      </c>
      <c r="K822" s="8">
        <v>5.7</v>
      </c>
      <c r="L822" s="8">
        <f t="shared" si="105"/>
        <v>107.27272727272728</v>
      </c>
      <c r="M822" s="9">
        <v>69.7</v>
      </c>
      <c r="N822" s="9">
        <v>97.6</v>
      </c>
      <c r="O822" s="10">
        <f t="shared" si="124"/>
        <v>40.028694404591093</v>
      </c>
      <c r="P822" s="11">
        <v>1</v>
      </c>
      <c r="Q822" s="11">
        <v>1.2E-2</v>
      </c>
      <c r="R822" s="33">
        <f t="shared" si="131"/>
        <v>-98.8</v>
      </c>
      <c r="S822" s="37">
        <f t="shared" si="125"/>
        <v>1.4393326938302626</v>
      </c>
      <c r="T822" s="37">
        <f t="shared" si="126"/>
        <v>3.0304893221479006</v>
      </c>
      <c r="U822" s="42">
        <f t="shared" si="127"/>
        <v>2.8432327780980096</v>
      </c>
      <c r="V822" s="41">
        <f t="shared" si="128"/>
        <v>2.6023714251755878</v>
      </c>
      <c r="W822" s="43">
        <f t="shared" si="129"/>
        <v>1</v>
      </c>
      <c r="X822" s="43" t="e">
        <f t="shared" si="130"/>
        <v>#NUM!</v>
      </c>
    </row>
    <row r="823" spans="1:24" ht="15" customHeight="1">
      <c r="A823" s="50"/>
      <c r="B823" s="8">
        <v>4</v>
      </c>
      <c r="C823" s="8">
        <f t="shared" si="122"/>
        <v>2</v>
      </c>
      <c r="D823" s="16" t="s">
        <v>25</v>
      </c>
      <c r="E823" s="22" t="s">
        <v>48</v>
      </c>
      <c r="F823" s="17" t="s">
        <v>34</v>
      </c>
      <c r="G823" s="17" t="s">
        <v>37</v>
      </c>
      <c r="H823" s="17" t="s">
        <v>29</v>
      </c>
      <c r="I823" s="17" t="s">
        <v>46</v>
      </c>
      <c r="J823" s="8">
        <v>4.8</v>
      </c>
      <c r="K823" s="8">
        <v>5.5</v>
      </c>
      <c r="L823" s="8">
        <f t="shared" si="105"/>
        <v>14.583333333333337</v>
      </c>
      <c r="M823" s="9">
        <v>86</v>
      </c>
      <c r="N823" s="9">
        <v>134</v>
      </c>
      <c r="O823" s="10">
        <f t="shared" si="124"/>
        <v>55.813953488372093</v>
      </c>
      <c r="P823" s="11">
        <v>1</v>
      </c>
      <c r="Q823" s="11">
        <v>1.6319999999999999</v>
      </c>
      <c r="R823" s="33">
        <f t="shared" si="131"/>
        <v>63.199999999999989</v>
      </c>
      <c r="S823" s="37">
        <f t="shared" si="125"/>
        <v>1.6812412373755872</v>
      </c>
      <c r="T823" s="37">
        <f t="shared" si="126"/>
        <v>2.1638568026386698</v>
      </c>
      <c r="U823" s="42">
        <f t="shared" si="127"/>
        <v>2.9344984512435679</v>
      </c>
      <c r="V823" s="41">
        <f t="shared" si="128"/>
        <v>2.7467427861320193</v>
      </c>
      <c r="W823" s="43">
        <f t="shared" si="129"/>
        <v>1</v>
      </c>
      <c r="X823" s="43">
        <f t="shared" si="130"/>
        <v>2.8007170782823851</v>
      </c>
    </row>
    <row r="824" spans="1:24" ht="15" customHeight="1">
      <c r="A824" s="45" t="s">
        <v>274</v>
      </c>
      <c r="B824" s="8">
        <v>1.5</v>
      </c>
      <c r="C824" s="8">
        <f t="shared" si="122"/>
        <v>0.75</v>
      </c>
      <c r="D824" s="16" t="s">
        <v>42</v>
      </c>
      <c r="E824" s="12" t="s">
        <v>129</v>
      </c>
      <c r="F824" s="17" t="s">
        <v>34</v>
      </c>
      <c r="G824" s="17" t="s">
        <v>28</v>
      </c>
      <c r="H824" s="17" t="s">
        <v>29</v>
      </c>
      <c r="I824" s="17" t="s">
        <v>46</v>
      </c>
      <c r="J824" s="8">
        <v>9.5709999999999997</v>
      </c>
      <c r="K824" s="8">
        <v>11.382999999999999</v>
      </c>
      <c r="L824" s="8">
        <f t="shared" si="105"/>
        <v>18.932190993626573</v>
      </c>
      <c r="M824" s="9">
        <v>191.9</v>
      </c>
      <c r="N824" s="9">
        <v>218.5</v>
      </c>
      <c r="O824" s="10">
        <f t="shared" si="124"/>
        <v>13.861386138613858</v>
      </c>
      <c r="P824" s="11">
        <v>3.34</v>
      </c>
      <c r="Q824" s="11">
        <v>2.76</v>
      </c>
      <c r="R824" s="33">
        <f t="shared" si="131"/>
        <v>-17.365269461077848</v>
      </c>
      <c r="S824" s="37">
        <f t="shared" si="125"/>
        <v>1.9809573162296201</v>
      </c>
      <c r="T824" s="37">
        <f t="shared" si="126"/>
        <v>2.277200877111174</v>
      </c>
      <c r="U824" s="42">
        <f t="shared" si="127"/>
        <v>3.2830749747354715</v>
      </c>
      <c r="V824" s="41">
        <f t="shared" si="128"/>
        <v>2.1418066618955955</v>
      </c>
      <c r="W824" s="43">
        <f t="shared" si="129"/>
        <v>1.5237464668115646</v>
      </c>
      <c r="X824" s="43" t="e">
        <f t="shared" si="130"/>
        <v>#NUM!</v>
      </c>
    </row>
    <row r="825" spans="1:24" ht="15" customHeight="1">
      <c r="A825" s="50"/>
      <c r="B825" s="8">
        <v>3</v>
      </c>
      <c r="C825" s="8">
        <f t="shared" si="122"/>
        <v>1.5</v>
      </c>
      <c r="D825" s="16" t="s">
        <v>42</v>
      </c>
      <c r="E825" s="12" t="s">
        <v>129</v>
      </c>
      <c r="F825" s="17" t="s">
        <v>34</v>
      </c>
      <c r="G825" s="17" t="s">
        <v>37</v>
      </c>
      <c r="H825" s="17" t="s">
        <v>29</v>
      </c>
      <c r="I825" s="17" t="s">
        <v>46</v>
      </c>
      <c r="J825" s="8">
        <v>9.5709999999999997</v>
      </c>
      <c r="K825" s="8">
        <v>10.762</v>
      </c>
      <c r="L825" s="8">
        <f t="shared" si="105"/>
        <v>12.443840768989665</v>
      </c>
      <c r="M825" s="9">
        <v>191.9</v>
      </c>
      <c r="N825" s="9">
        <v>229.8</v>
      </c>
      <c r="O825" s="10">
        <f t="shared" si="124"/>
        <v>19.749869723814488</v>
      </c>
      <c r="P825" s="11">
        <v>3.34</v>
      </c>
      <c r="Q825" s="11">
        <v>2.96</v>
      </c>
      <c r="R825" s="33">
        <f t="shared" si="131"/>
        <v>-11.377245508982032</v>
      </c>
      <c r="S825" s="37">
        <f t="shared" si="125"/>
        <v>1.9809573162296201</v>
      </c>
      <c r="T825" s="37">
        <f t="shared" si="126"/>
        <v>2.0949544452531574</v>
      </c>
      <c r="U825" s="42">
        <f t="shared" si="127"/>
        <v>3.2830749747354715</v>
      </c>
      <c r="V825" s="41">
        <f t="shared" si="128"/>
        <v>2.2955642352326007</v>
      </c>
      <c r="W825" s="43">
        <f t="shared" si="129"/>
        <v>1.5237464668115646</v>
      </c>
      <c r="X825" s="43" t="e">
        <f t="shared" si="130"/>
        <v>#NUM!</v>
      </c>
    </row>
    <row r="826" spans="1:24" ht="15" customHeight="1">
      <c r="A826" s="45" t="s">
        <v>275</v>
      </c>
      <c r="B826" s="8">
        <v>1</v>
      </c>
      <c r="C826" s="8">
        <f t="shared" si="122"/>
        <v>0.5</v>
      </c>
      <c r="D826" s="16" t="s">
        <v>42</v>
      </c>
      <c r="E826" s="12" t="s">
        <v>43</v>
      </c>
      <c r="F826" s="17" t="s">
        <v>34</v>
      </c>
      <c r="G826" s="17" t="s">
        <v>37</v>
      </c>
      <c r="H826" s="17" t="s">
        <v>29</v>
      </c>
      <c r="I826" s="17" t="s">
        <v>36</v>
      </c>
      <c r="J826" s="8">
        <v>3.45</v>
      </c>
      <c r="K826" s="8">
        <v>4.72</v>
      </c>
      <c r="L826" s="8">
        <f t="shared" si="105"/>
        <v>36.811594202898533</v>
      </c>
      <c r="M826" s="9">
        <v>53</v>
      </c>
      <c r="N826" s="9">
        <v>63</v>
      </c>
      <c r="O826" s="10">
        <f t="shared" si="124"/>
        <v>18.867924528301888</v>
      </c>
      <c r="P826" s="11">
        <v>1.5299999999999999E-2</v>
      </c>
      <c r="Q826" s="11">
        <v>1.3299999999999999E-2</v>
      </c>
      <c r="R826" s="33">
        <f t="shared" si="131"/>
        <v>-13.071895424836603</v>
      </c>
      <c r="S826" s="37">
        <f t="shared" si="125"/>
        <v>1.5378190950732742</v>
      </c>
      <c r="T826" s="37">
        <f t="shared" si="126"/>
        <v>2.5659846258826824</v>
      </c>
      <c r="U826" s="42">
        <f t="shared" si="127"/>
        <v>2.7242758696007892</v>
      </c>
      <c r="V826" s="41">
        <f t="shared" si="128"/>
        <v>2.2757241303992108</v>
      </c>
      <c r="W826" s="43">
        <f t="shared" si="129"/>
        <v>-0.81530856918240124</v>
      </c>
      <c r="X826" s="43" t="e">
        <f t="shared" si="130"/>
        <v>#NUM!</v>
      </c>
    </row>
    <row r="827" spans="1:24" ht="15" customHeight="1">
      <c r="A827" s="49"/>
      <c r="B827" s="8">
        <v>1</v>
      </c>
      <c r="C827" s="8">
        <f t="shared" si="122"/>
        <v>0.5</v>
      </c>
      <c r="D827" s="16" t="s">
        <v>42</v>
      </c>
      <c r="E827" s="12" t="s">
        <v>43</v>
      </c>
      <c r="F827" s="17" t="s">
        <v>34</v>
      </c>
      <c r="G827" s="17" t="s">
        <v>37</v>
      </c>
      <c r="H827" s="17" t="s">
        <v>54</v>
      </c>
      <c r="I827" s="17" t="s">
        <v>36</v>
      </c>
      <c r="J827" s="8">
        <v>3.45</v>
      </c>
      <c r="K827" s="8">
        <v>4.72</v>
      </c>
      <c r="L827" s="8">
        <f t="shared" si="105"/>
        <v>36.811594202898533</v>
      </c>
      <c r="M827" s="9">
        <v>53</v>
      </c>
      <c r="N827" s="9">
        <v>63</v>
      </c>
      <c r="O827" s="10">
        <f t="shared" si="124"/>
        <v>18.867924528301888</v>
      </c>
      <c r="P827" s="11">
        <v>1.5299999999999999E-2</v>
      </c>
      <c r="Q827" s="11">
        <v>1.3299999999999999E-2</v>
      </c>
      <c r="R827" s="33">
        <f t="shared" si="131"/>
        <v>-13.071895424836603</v>
      </c>
      <c r="S827" s="37">
        <f t="shared" si="125"/>
        <v>1.5378190950732742</v>
      </c>
      <c r="T827" s="37">
        <f t="shared" si="126"/>
        <v>2.5659846258826824</v>
      </c>
      <c r="U827" s="42">
        <f t="shared" si="127"/>
        <v>2.7242758696007892</v>
      </c>
      <c r="V827" s="41">
        <f t="shared" si="128"/>
        <v>2.2757241303992108</v>
      </c>
      <c r="W827" s="43">
        <f t="shared" si="129"/>
        <v>-0.81530856918240124</v>
      </c>
      <c r="X827" s="43" t="e">
        <f t="shared" si="130"/>
        <v>#NUM!</v>
      </c>
    </row>
    <row r="828" spans="1:24" ht="15" customHeight="1">
      <c r="A828" s="49"/>
      <c r="B828" s="8">
        <v>3</v>
      </c>
      <c r="C828" s="8">
        <f t="shared" si="122"/>
        <v>1.5</v>
      </c>
      <c r="D828" s="16" t="s">
        <v>42</v>
      </c>
      <c r="E828" s="12" t="s">
        <v>43</v>
      </c>
      <c r="F828" s="17" t="s">
        <v>34</v>
      </c>
      <c r="G828" s="17" t="s">
        <v>37</v>
      </c>
      <c r="H828" s="17" t="s">
        <v>54</v>
      </c>
      <c r="I828" s="17" t="s">
        <v>36</v>
      </c>
      <c r="J828" s="8">
        <v>3.45</v>
      </c>
      <c r="K828" s="8">
        <v>6</v>
      </c>
      <c r="L828" s="8">
        <f t="shared" si="105"/>
        <v>73.91304347826086</v>
      </c>
      <c r="M828" s="9">
        <v>53</v>
      </c>
      <c r="N828" s="9">
        <v>175</v>
      </c>
      <c r="O828" s="10">
        <f t="shared" si="124"/>
        <v>230.18867924528303</v>
      </c>
      <c r="P828" s="11">
        <v>1.5299999999999999E-2</v>
      </c>
      <c r="Q828" s="11">
        <v>2.9100000000000001E-2</v>
      </c>
      <c r="R828" s="33">
        <f t="shared" si="131"/>
        <v>90.196078431372555</v>
      </c>
      <c r="S828" s="37">
        <f t="shared" si="125"/>
        <v>1.5378190950732742</v>
      </c>
      <c r="T828" s="37">
        <f t="shared" si="126"/>
        <v>2.868721085360681</v>
      </c>
      <c r="U828" s="42">
        <f t="shared" si="127"/>
        <v>2.7242758696007892</v>
      </c>
      <c r="V828" s="41">
        <f t="shared" si="128"/>
        <v>3.3620839610739592</v>
      </c>
      <c r="W828" s="43">
        <f t="shared" si="129"/>
        <v>-0.81530856918240124</v>
      </c>
      <c r="X828" s="43">
        <f t="shared" si="130"/>
        <v>2.9551876555836376</v>
      </c>
    </row>
    <row r="829" spans="1:24" ht="15" customHeight="1">
      <c r="A829" s="50"/>
      <c r="B829" s="8">
        <v>5</v>
      </c>
      <c r="C829" s="8">
        <f t="shared" si="122"/>
        <v>2.5</v>
      </c>
      <c r="D829" s="16" t="s">
        <v>42</v>
      </c>
      <c r="E829" s="12" t="s">
        <v>43</v>
      </c>
      <c r="F829" s="17" t="s">
        <v>34</v>
      </c>
      <c r="G829" s="17" t="s">
        <v>227</v>
      </c>
      <c r="H829" s="17" t="s">
        <v>54</v>
      </c>
      <c r="I829" s="17" t="s">
        <v>36</v>
      </c>
      <c r="J829" s="8">
        <v>3.45</v>
      </c>
      <c r="K829" s="8">
        <v>5.82</v>
      </c>
      <c r="L829" s="8">
        <f t="shared" si="105"/>
        <v>68.695652173913047</v>
      </c>
      <c r="M829" s="9">
        <v>53</v>
      </c>
      <c r="N829" s="9">
        <v>89</v>
      </c>
      <c r="O829" s="10">
        <f t="shared" si="124"/>
        <v>67.924528301886795</v>
      </c>
      <c r="P829" s="11">
        <v>1.5299999999999999E-2</v>
      </c>
      <c r="Q829" s="11">
        <v>1.5299999999999999E-2</v>
      </c>
      <c r="R829" s="33">
        <f t="shared" si="131"/>
        <v>0</v>
      </c>
      <c r="S829" s="37">
        <f t="shared" si="125"/>
        <v>1.5378190950732742</v>
      </c>
      <c r="T829" s="37">
        <f t="shared" si="126"/>
        <v>2.8369292509368296</v>
      </c>
      <c r="U829" s="42">
        <f t="shared" si="127"/>
        <v>2.7242758696007892</v>
      </c>
      <c r="V829" s="41">
        <f t="shared" si="128"/>
        <v>2.8320266311664981</v>
      </c>
      <c r="W829" s="43">
        <f t="shared" si="129"/>
        <v>-0.81530856918240124</v>
      </c>
      <c r="X829" s="43" t="e">
        <f t="shared" si="130"/>
        <v>#NUM!</v>
      </c>
    </row>
    <row r="830" spans="1:24" ht="15" customHeight="1">
      <c r="A830" s="45" t="s">
        <v>276</v>
      </c>
      <c r="B830" s="8">
        <v>2</v>
      </c>
      <c r="C830" s="8">
        <f t="shared" si="122"/>
        <v>1</v>
      </c>
      <c r="D830" s="16" t="s">
        <v>42</v>
      </c>
      <c r="E830" s="12" t="s">
        <v>43</v>
      </c>
      <c r="F830" s="17" t="s">
        <v>34</v>
      </c>
      <c r="G830" s="17" t="s">
        <v>37</v>
      </c>
      <c r="H830" s="17" t="s">
        <v>54</v>
      </c>
      <c r="I830" s="17" t="s">
        <v>36</v>
      </c>
      <c r="J830" s="8">
        <v>3.45</v>
      </c>
      <c r="K830" s="8">
        <v>5.1100000000000003</v>
      </c>
      <c r="L830" s="8">
        <f t="shared" si="105"/>
        <v>48.115942028985508</v>
      </c>
      <c r="M830" s="9">
        <v>53</v>
      </c>
      <c r="N830" s="9">
        <v>78</v>
      </c>
      <c r="O830" s="10">
        <f t="shared" si="124"/>
        <v>47.169811320754718</v>
      </c>
      <c r="P830" s="11">
        <v>1.5299999999999999E-2</v>
      </c>
      <c r="Q830" s="11">
        <v>1.52E-2</v>
      </c>
      <c r="R830" s="33">
        <f t="shared" si="131"/>
        <v>-0.65359477124182608</v>
      </c>
      <c r="S830" s="37">
        <f t="shared" si="125"/>
        <v>1.5378190950732742</v>
      </c>
      <c r="T830" s="37">
        <f t="shared" si="126"/>
        <v>2.682288992966781</v>
      </c>
      <c r="U830" s="42">
        <f t="shared" si="127"/>
        <v>2.7242758696007892</v>
      </c>
      <c r="V830" s="41">
        <f t="shared" si="128"/>
        <v>2.6736641390712488</v>
      </c>
      <c r="W830" s="43">
        <f t="shared" si="129"/>
        <v>-0.81530856918240124</v>
      </c>
      <c r="X830" s="43" t="e">
        <f t="shared" si="130"/>
        <v>#NUM!</v>
      </c>
    </row>
    <row r="831" spans="1:24" ht="15" customHeight="1">
      <c r="A831" s="50"/>
      <c r="B831" s="8">
        <v>4</v>
      </c>
      <c r="C831" s="8">
        <f t="shared" si="122"/>
        <v>2</v>
      </c>
      <c r="D831" s="16" t="s">
        <v>42</v>
      </c>
      <c r="E831" s="12" t="s">
        <v>43</v>
      </c>
      <c r="F831" s="17" t="s">
        <v>34</v>
      </c>
      <c r="G831" s="17" t="s">
        <v>37</v>
      </c>
      <c r="H831" s="17" t="s">
        <v>54</v>
      </c>
      <c r="I831" s="17" t="s">
        <v>36</v>
      </c>
      <c r="J831" s="8">
        <v>3.45</v>
      </c>
      <c r="K831" s="8">
        <v>5.87</v>
      </c>
      <c r="L831" s="8">
        <f t="shared" si="105"/>
        <v>70.144927536231876</v>
      </c>
      <c r="M831" s="9">
        <v>53</v>
      </c>
      <c r="N831" s="9">
        <v>144</v>
      </c>
      <c r="O831" s="10">
        <f t="shared" si="124"/>
        <v>171.69811320754718</v>
      </c>
      <c r="P831" s="11">
        <v>1.5299999999999999E-2</v>
      </c>
      <c r="Q831" s="11">
        <v>2.4500000000000001E-2</v>
      </c>
      <c r="R831" s="33">
        <f t="shared" si="131"/>
        <v>60.130718954248373</v>
      </c>
      <c r="S831" s="37">
        <f t="shared" si="125"/>
        <v>1.5378190950732742</v>
      </c>
      <c r="T831" s="37">
        <f t="shared" si="126"/>
        <v>2.8459962709071571</v>
      </c>
      <c r="U831" s="42">
        <f t="shared" si="127"/>
        <v>2.7242758696007892</v>
      </c>
      <c r="V831" s="41">
        <f t="shared" si="128"/>
        <v>3.2347655227203047</v>
      </c>
      <c r="W831" s="43">
        <f t="shared" si="129"/>
        <v>-0.81530856918240124</v>
      </c>
      <c r="X831" s="43">
        <f t="shared" si="130"/>
        <v>2.7790963965279567</v>
      </c>
    </row>
    <row r="832" spans="1:24" ht="15" customHeight="1">
      <c r="A832" s="45" t="s">
        <v>277</v>
      </c>
      <c r="B832" s="8">
        <v>1</v>
      </c>
      <c r="C832" s="8">
        <f t="shared" si="122"/>
        <v>0.5</v>
      </c>
      <c r="D832" s="16" t="s">
        <v>25</v>
      </c>
      <c r="E832" s="12" t="s">
        <v>278</v>
      </c>
      <c r="F832" s="17" t="s">
        <v>34</v>
      </c>
      <c r="G832" s="17" t="s">
        <v>37</v>
      </c>
      <c r="H832" s="17" t="s">
        <v>29</v>
      </c>
      <c r="I832" s="17" t="s">
        <v>36</v>
      </c>
      <c r="J832" s="8">
        <v>0.67600000000000005</v>
      </c>
      <c r="K832" s="8">
        <v>0.85499999999999998</v>
      </c>
      <c r="L832" s="8">
        <f t="shared" si="105"/>
        <v>26.479289940828394</v>
      </c>
      <c r="M832" s="9">
        <v>34.119999999999997</v>
      </c>
      <c r="N832" s="9">
        <v>30.414000000000001</v>
      </c>
      <c r="O832" s="10">
        <f t="shared" si="124"/>
        <v>-10.861664712778419</v>
      </c>
      <c r="P832" s="11">
        <v>0.125</v>
      </c>
      <c r="Q832" s="11">
        <v>4.9000000000000002E-2</v>
      </c>
      <c r="R832" s="33">
        <f t="shared" si="131"/>
        <v>-60.8</v>
      </c>
      <c r="S832" s="37">
        <f t="shared" ref="S832:S838" si="132">LOG10(J832*10)</f>
        <v>0.82994669594163595</v>
      </c>
      <c r="T832" s="37">
        <f t="shared" ref="T832:T838" si="133">LOG10(L832*10)</f>
        <v>2.4229063350382569</v>
      </c>
      <c r="U832" s="42">
        <f t="shared" ref="U832:U838" si="134">LOG10(M832*10)</f>
        <v>2.5330090224954853</v>
      </c>
      <c r="V832" s="41" t="e">
        <f t="shared" ref="V832:V838" si="135">LOG10(O832*10)</f>
        <v>#NUM!</v>
      </c>
      <c r="W832" s="43">
        <f t="shared" si="129"/>
        <v>9.691001300805642E-2</v>
      </c>
      <c r="X832" s="43" t="e">
        <f t="shared" si="130"/>
        <v>#NUM!</v>
      </c>
    </row>
    <row r="833" spans="1:24" ht="15" customHeight="1">
      <c r="A833" s="46"/>
      <c r="B833" s="8">
        <v>3</v>
      </c>
      <c r="C833" s="8">
        <f t="shared" si="122"/>
        <v>1.5</v>
      </c>
      <c r="D833" s="16" t="s">
        <v>25</v>
      </c>
      <c r="E833" s="12" t="s">
        <v>278</v>
      </c>
      <c r="F833" s="17" t="s">
        <v>34</v>
      </c>
      <c r="G833" s="17" t="s">
        <v>35</v>
      </c>
      <c r="H833" s="17" t="s">
        <v>29</v>
      </c>
      <c r="I833" s="17" t="s">
        <v>36</v>
      </c>
      <c r="J833" s="8">
        <v>0.67600000000000005</v>
      </c>
      <c r="K833" s="8">
        <v>0.92</v>
      </c>
      <c r="L833" s="8">
        <f t="shared" si="105"/>
        <v>36.094674556213015</v>
      </c>
      <c r="M833" s="9">
        <v>34.119999999999997</v>
      </c>
      <c r="N833" s="9">
        <v>37.71</v>
      </c>
      <c r="O833" s="10">
        <f t="shared" si="124"/>
        <v>10.521688159437291</v>
      </c>
      <c r="P833" s="11">
        <v>0.125</v>
      </c>
      <c r="Q833" s="11">
        <v>3.6999999999999998E-2</v>
      </c>
      <c r="R833" s="33">
        <f t="shared" si="131"/>
        <v>-70.399999999999991</v>
      </c>
      <c r="S833" s="37">
        <f t="shared" si="132"/>
        <v>0.82994669594163595</v>
      </c>
      <c r="T833" s="37">
        <f t="shared" si="133"/>
        <v>2.5574431303970933</v>
      </c>
      <c r="U833" s="42">
        <f t="shared" si="134"/>
        <v>2.5330090224954853</v>
      </c>
      <c r="V833" s="41">
        <f t="shared" si="135"/>
        <v>2.022085426082834</v>
      </c>
      <c r="W833" s="43">
        <f t="shared" si="129"/>
        <v>9.691001300805642E-2</v>
      </c>
      <c r="X833" s="43" t="e">
        <f t="shared" si="130"/>
        <v>#NUM!</v>
      </c>
    </row>
    <row r="834" spans="1:24" ht="15" customHeight="1">
      <c r="A834" s="46"/>
      <c r="B834" s="8">
        <v>5</v>
      </c>
      <c r="C834" s="8">
        <f t="shared" si="122"/>
        <v>2.5</v>
      </c>
      <c r="D834" s="16" t="s">
        <v>25</v>
      </c>
      <c r="E834" s="12" t="s">
        <v>278</v>
      </c>
      <c r="F834" s="17" t="s">
        <v>34</v>
      </c>
      <c r="G834" s="17" t="s">
        <v>37</v>
      </c>
      <c r="H834" s="17" t="s">
        <v>29</v>
      </c>
      <c r="I834" s="17" t="s">
        <v>36</v>
      </c>
      <c r="J834" s="8">
        <v>0.67600000000000005</v>
      </c>
      <c r="K834" s="8">
        <v>0.873</v>
      </c>
      <c r="L834" s="8">
        <f t="shared" si="105"/>
        <v>29.142011834319518</v>
      </c>
      <c r="M834" s="9">
        <v>34.119999999999997</v>
      </c>
      <c r="N834" s="9">
        <v>23.49</v>
      </c>
      <c r="O834" s="10">
        <f t="shared" si="124"/>
        <v>-31.154747948417349</v>
      </c>
      <c r="P834" s="11">
        <v>0.125</v>
      </c>
      <c r="Q834" s="11">
        <v>2.5999999999999999E-2</v>
      </c>
      <c r="R834" s="33">
        <f t="shared" si="131"/>
        <v>-79.2</v>
      </c>
      <c r="S834" s="37">
        <f t="shared" si="132"/>
        <v>0.82994669594163595</v>
      </c>
      <c r="T834" s="37">
        <f t="shared" si="133"/>
        <v>2.464519530219957</v>
      </c>
      <c r="U834" s="42">
        <f t="shared" si="134"/>
        <v>2.5330090224954853</v>
      </c>
      <c r="V834" s="41" t="e">
        <f t="shared" si="135"/>
        <v>#NUM!</v>
      </c>
      <c r="W834" s="43">
        <f t="shared" si="129"/>
        <v>9.691001300805642E-2</v>
      </c>
      <c r="X834" s="43" t="e">
        <f t="shared" si="130"/>
        <v>#NUM!</v>
      </c>
    </row>
    <row r="835" spans="1:24" ht="15" customHeight="1">
      <c r="A835" s="49"/>
      <c r="B835" s="8">
        <v>1</v>
      </c>
      <c r="C835" s="8">
        <f t="shared" si="122"/>
        <v>0.5</v>
      </c>
      <c r="D835" s="16" t="s">
        <v>25</v>
      </c>
      <c r="E835" s="12" t="s">
        <v>278</v>
      </c>
      <c r="F835" s="17" t="s">
        <v>34</v>
      </c>
      <c r="G835" s="17" t="s">
        <v>37</v>
      </c>
      <c r="H835" s="17" t="s">
        <v>29</v>
      </c>
      <c r="I835" s="17" t="s">
        <v>36</v>
      </c>
      <c r="J835" s="8">
        <v>0.41399999999999998</v>
      </c>
      <c r="K835" s="8">
        <v>0.621</v>
      </c>
      <c r="L835" s="8">
        <f t="shared" si="105"/>
        <v>50.000000000000014</v>
      </c>
      <c r="M835" s="9">
        <v>31.469000000000001</v>
      </c>
      <c r="N835" s="9">
        <v>25.18</v>
      </c>
      <c r="O835" s="10">
        <f t="shared" si="124"/>
        <v>-19.984746893768474</v>
      </c>
      <c r="P835" s="11">
        <v>5.5E-2</v>
      </c>
      <c r="Q835" s="11">
        <v>0.06</v>
      </c>
      <c r="R835" s="33">
        <f t="shared" si="131"/>
        <v>9.0909090909090864</v>
      </c>
      <c r="S835" s="37">
        <f t="shared" si="132"/>
        <v>0.61700034112089897</v>
      </c>
      <c r="T835" s="37">
        <f t="shared" si="133"/>
        <v>2.6989700043360187</v>
      </c>
      <c r="U835" s="42">
        <f t="shared" si="134"/>
        <v>2.4978829424244315</v>
      </c>
      <c r="V835" s="41" t="e">
        <f t="shared" si="135"/>
        <v>#NUM!</v>
      </c>
      <c r="W835" s="43">
        <f t="shared" ref="W835:W838" si="136">LOG10(P835*10)</f>
        <v>-0.25963731050575611</v>
      </c>
      <c r="X835" s="43">
        <f t="shared" ref="X835:X838" si="137">LOG10(R835*10)</f>
        <v>1.9586073148417746</v>
      </c>
    </row>
    <row r="836" spans="1:24" ht="15" customHeight="1">
      <c r="A836" s="49"/>
      <c r="B836" s="8">
        <v>3</v>
      </c>
      <c r="C836" s="8">
        <f t="shared" si="122"/>
        <v>1.5</v>
      </c>
      <c r="D836" s="16" t="s">
        <v>25</v>
      </c>
      <c r="E836" s="12" t="s">
        <v>278</v>
      </c>
      <c r="F836" s="17" t="s">
        <v>34</v>
      </c>
      <c r="G836" s="17" t="s">
        <v>28</v>
      </c>
      <c r="H836" s="17" t="s">
        <v>29</v>
      </c>
      <c r="I836" s="17" t="s">
        <v>36</v>
      </c>
      <c r="J836" s="8">
        <v>0.41399999999999998</v>
      </c>
      <c r="K836" s="8">
        <v>0.75600000000000001</v>
      </c>
      <c r="L836" s="8">
        <f t="shared" si="105"/>
        <v>82.608695652173921</v>
      </c>
      <c r="M836" s="9">
        <v>31.469000000000001</v>
      </c>
      <c r="N836" s="9">
        <v>36.235999999999997</v>
      </c>
      <c r="O836" s="10">
        <f t="shared" si="124"/>
        <v>15.148241126187663</v>
      </c>
      <c r="P836" s="11">
        <v>5.5E-2</v>
      </c>
      <c r="Q836" s="11">
        <v>3.6999999999999998E-2</v>
      </c>
      <c r="R836" s="33">
        <f t="shared" si="131"/>
        <v>-32.727272727272734</v>
      </c>
      <c r="S836" s="37">
        <f t="shared" si="132"/>
        <v>0.61700034112089897</v>
      </c>
      <c r="T836" s="37">
        <f t="shared" si="133"/>
        <v>2.9170257649352362</v>
      </c>
      <c r="U836" s="42">
        <f t="shared" si="134"/>
        <v>2.4978829424244315</v>
      </c>
      <c r="V836" s="41">
        <f t="shared" si="135"/>
        <v>2.1803622095026101</v>
      </c>
      <c r="W836" s="43">
        <f t="shared" si="136"/>
        <v>-0.25963731050575611</v>
      </c>
      <c r="X836" s="43" t="e">
        <f t="shared" si="137"/>
        <v>#NUM!</v>
      </c>
    </row>
    <row r="837" spans="1:24" ht="15" customHeight="1">
      <c r="A837" s="49"/>
      <c r="B837" s="8">
        <v>5</v>
      </c>
      <c r="C837" s="8">
        <f t="shared" si="122"/>
        <v>2.5</v>
      </c>
      <c r="D837" s="16" t="s">
        <v>25</v>
      </c>
      <c r="E837" s="12" t="s">
        <v>278</v>
      </c>
      <c r="F837" s="17" t="s">
        <v>34</v>
      </c>
      <c r="G837" s="17" t="s">
        <v>37</v>
      </c>
      <c r="H837" s="17" t="s">
        <v>29</v>
      </c>
      <c r="I837" s="17" t="s">
        <v>36</v>
      </c>
      <c r="J837" s="8">
        <v>0.41399999999999998</v>
      </c>
      <c r="K837" s="8">
        <v>0.73099999999999998</v>
      </c>
      <c r="L837" s="8">
        <f t="shared" si="105"/>
        <v>76.570048309178745</v>
      </c>
      <c r="M837" s="9">
        <v>31.469000000000001</v>
      </c>
      <c r="N837" s="9">
        <v>12.427</v>
      </c>
      <c r="O837" s="10">
        <f t="shared" si="124"/>
        <v>-60.510343512663255</v>
      </c>
      <c r="P837" s="11">
        <v>5.5E-2</v>
      </c>
      <c r="Q837" s="11">
        <v>2.3E-2</v>
      </c>
      <c r="R837" s="33">
        <f t="shared" si="131"/>
        <v>-58.18181818181818</v>
      </c>
      <c r="S837" s="37">
        <f t="shared" si="132"/>
        <v>0.61700034112089897</v>
      </c>
      <c r="T837" s="37">
        <f t="shared" si="133"/>
        <v>2.8840589210968526</v>
      </c>
      <c r="U837" s="42">
        <f t="shared" si="134"/>
        <v>2.4978829424244315</v>
      </c>
      <c r="V837" s="41" t="e">
        <f t="shared" si="135"/>
        <v>#NUM!</v>
      </c>
      <c r="W837" s="43">
        <f t="shared" si="136"/>
        <v>-0.25963731050575611</v>
      </c>
      <c r="X837" s="43" t="e">
        <f t="shared" si="137"/>
        <v>#NUM!</v>
      </c>
    </row>
    <row r="838" spans="1:24" ht="15" customHeight="1">
      <c r="A838" s="50"/>
      <c r="B838" s="8">
        <v>3</v>
      </c>
      <c r="C838" s="8">
        <f t="shared" si="122"/>
        <v>1.5</v>
      </c>
      <c r="D838" s="16" t="s">
        <v>25</v>
      </c>
      <c r="E838" s="12" t="s">
        <v>278</v>
      </c>
      <c r="F838" s="17" t="s">
        <v>34</v>
      </c>
      <c r="G838" s="17" t="s">
        <v>37</v>
      </c>
      <c r="H838" s="17" t="s">
        <v>29</v>
      </c>
      <c r="I838" s="17" t="s">
        <v>36</v>
      </c>
      <c r="J838" s="8">
        <v>0.188</v>
      </c>
      <c r="K838" s="8">
        <v>0.14699999999999999</v>
      </c>
      <c r="L838" s="8">
        <f t="shared" si="105"/>
        <v>-21.808510638297875</v>
      </c>
      <c r="M838" s="9">
        <v>13.363</v>
      </c>
      <c r="N838" s="9">
        <v>9.7739999999999991</v>
      </c>
      <c r="O838" s="10">
        <f t="shared" si="124"/>
        <v>-26.857741525106643</v>
      </c>
      <c r="P838" s="11">
        <v>1.25</v>
      </c>
      <c r="Q838" s="11">
        <v>3.3000000000000002E-2</v>
      </c>
      <c r="R838" s="33">
        <f t="shared" si="131"/>
        <v>-97.36</v>
      </c>
      <c r="S838" s="37">
        <f t="shared" si="132"/>
        <v>0.27415784926367981</v>
      </c>
      <c r="T838" s="37" t="e">
        <f t="shared" si="133"/>
        <v>#NUM!</v>
      </c>
      <c r="U838" s="42">
        <f t="shared" si="134"/>
        <v>2.1259039684079237</v>
      </c>
      <c r="V838" s="41" t="e">
        <f t="shared" si="135"/>
        <v>#NUM!</v>
      </c>
      <c r="W838" s="43">
        <f t="shared" si="136"/>
        <v>1.0969100130080565</v>
      </c>
      <c r="X838" s="43" t="e">
        <f t="shared" si="137"/>
        <v>#NUM!</v>
      </c>
    </row>
    <row r="839" spans="1:24" ht="15" customHeight="1">
      <c r="A839" s="51" t="s">
        <v>279</v>
      </c>
      <c r="B839" s="8">
        <v>2.5</v>
      </c>
      <c r="C839" s="8">
        <f t="shared" si="122"/>
        <v>1.25</v>
      </c>
      <c r="D839" s="16" t="s">
        <v>25</v>
      </c>
      <c r="E839" s="12" t="s">
        <v>58</v>
      </c>
      <c r="F839" s="17" t="s">
        <v>34</v>
      </c>
      <c r="G839" s="17" t="s">
        <v>28</v>
      </c>
      <c r="H839" s="17" t="s">
        <v>29</v>
      </c>
      <c r="I839" s="17" t="s">
        <v>132</v>
      </c>
      <c r="J839" s="8">
        <v>1.06</v>
      </c>
      <c r="K839" s="8">
        <v>1.84</v>
      </c>
      <c r="L839" s="8">
        <f t="shared" ref="L839:L943" si="138">(K839-J839)/J839*100</f>
        <v>73.584905660377359</v>
      </c>
      <c r="M839" s="9">
        <v>54</v>
      </c>
      <c r="N839" s="9">
        <v>97</v>
      </c>
      <c r="O839" s="10">
        <f t="shared" si="124"/>
        <v>79.629629629629633</v>
      </c>
      <c r="P839" s="11" t="s">
        <v>31</v>
      </c>
      <c r="Q839" s="11" t="s">
        <v>31</v>
      </c>
      <c r="R839" s="11" t="s">
        <v>31</v>
      </c>
      <c r="S839" s="37">
        <f t="shared" ref="S839:S876" si="139">LOG10(J839*10)</f>
        <v>1.0253058652647702</v>
      </c>
      <c r="T839" s="37">
        <f t="shared" ref="T839:T876" si="140">LOG10(L839*10)</f>
        <v>2.8667887374257099</v>
      </c>
      <c r="U839" s="42">
        <f t="shared" ref="U839:U885" si="141">LOG10(M839*10)</f>
        <v>2.7323937598229686</v>
      </c>
      <c r="V839" s="41">
        <f t="shared" ref="V839:V885" si="142">LOG10(O839*10)</f>
        <v>2.901074695756618</v>
      </c>
      <c r="W839" s="43" t="e">
        <f t="shared" ref="W839:W885" si="143">LOG10(P839*10)</f>
        <v>#VALUE!</v>
      </c>
      <c r="X839" s="43" t="e">
        <f t="shared" ref="X839:X886" si="144">LOG10(R839*10)</f>
        <v>#VALUE!</v>
      </c>
    </row>
    <row r="840" spans="1:24" ht="15" customHeight="1">
      <c r="A840" s="52"/>
      <c r="B840" s="8">
        <v>5</v>
      </c>
      <c r="C840" s="8">
        <f t="shared" si="122"/>
        <v>2.5</v>
      </c>
      <c r="D840" s="16" t="s">
        <v>25</v>
      </c>
      <c r="E840" s="12" t="s">
        <v>58</v>
      </c>
      <c r="F840" s="17" t="s">
        <v>34</v>
      </c>
      <c r="G840" s="17" t="s">
        <v>35</v>
      </c>
      <c r="H840" s="17" t="s">
        <v>29</v>
      </c>
      <c r="I840" s="17" t="s">
        <v>132</v>
      </c>
      <c r="J840" s="8">
        <v>1.06</v>
      </c>
      <c r="K840" s="8">
        <v>1.97</v>
      </c>
      <c r="L840" s="8">
        <f t="shared" si="138"/>
        <v>85.849056603773576</v>
      </c>
      <c r="M840" s="9">
        <v>54</v>
      </c>
      <c r="N840" s="9">
        <v>118</v>
      </c>
      <c r="O840" s="10">
        <f t="shared" si="124"/>
        <v>118.5185185185185</v>
      </c>
      <c r="P840" s="11" t="s">
        <v>31</v>
      </c>
      <c r="Q840" s="11" t="s">
        <v>31</v>
      </c>
      <c r="R840" s="11" t="s">
        <v>31</v>
      </c>
      <c r="S840" s="37">
        <f t="shared" si="139"/>
        <v>1.0253058652647702</v>
      </c>
      <c r="T840" s="37">
        <f t="shared" si="140"/>
        <v>2.9337355270563235</v>
      </c>
      <c r="U840" s="42">
        <f t="shared" si="141"/>
        <v>2.7323937598229686</v>
      </c>
      <c r="V840" s="41">
        <f t="shared" si="142"/>
        <v>3.0737862141609185</v>
      </c>
      <c r="W840" s="43" t="e">
        <f t="shared" si="143"/>
        <v>#VALUE!</v>
      </c>
      <c r="X840" s="43" t="e">
        <f t="shared" si="144"/>
        <v>#VALUE!</v>
      </c>
    </row>
    <row r="841" spans="1:24" ht="15" customHeight="1">
      <c r="A841" s="52"/>
      <c r="B841" s="8">
        <v>5</v>
      </c>
      <c r="C841" s="8">
        <f t="shared" si="122"/>
        <v>2.5</v>
      </c>
      <c r="D841" s="16" t="s">
        <v>25</v>
      </c>
      <c r="E841" s="12" t="s">
        <v>58</v>
      </c>
      <c r="F841" s="17" t="s">
        <v>34</v>
      </c>
      <c r="G841" s="17" t="s">
        <v>35</v>
      </c>
      <c r="H841" s="17" t="s">
        <v>29</v>
      </c>
      <c r="I841" s="17" t="s">
        <v>36</v>
      </c>
      <c r="J841" s="8">
        <v>1.5</v>
      </c>
      <c r="K841" s="8">
        <v>2.25</v>
      </c>
      <c r="L841" s="8">
        <f t="shared" si="138"/>
        <v>50</v>
      </c>
      <c r="M841" s="9" t="s">
        <v>31</v>
      </c>
      <c r="N841" s="9" t="s">
        <v>31</v>
      </c>
      <c r="O841" s="10" t="s">
        <v>31</v>
      </c>
      <c r="P841" s="11" t="s">
        <v>31</v>
      </c>
      <c r="Q841" s="11" t="s">
        <v>31</v>
      </c>
      <c r="R841" s="11" t="s">
        <v>31</v>
      </c>
      <c r="S841" s="37">
        <f t="shared" si="139"/>
        <v>1.1760912590556813</v>
      </c>
      <c r="T841" s="37">
        <f t="shared" si="140"/>
        <v>2.6989700043360187</v>
      </c>
      <c r="U841" s="42" t="e">
        <f t="shared" si="141"/>
        <v>#VALUE!</v>
      </c>
      <c r="V841" s="41" t="e">
        <f t="shared" si="142"/>
        <v>#VALUE!</v>
      </c>
      <c r="W841" s="43" t="e">
        <f t="shared" ref="W841" si="145">LOG10(P841*10)</f>
        <v>#VALUE!</v>
      </c>
      <c r="X841" s="43" t="e">
        <f t="shared" ref="X841" si="146">LOG10(R841*10)</f>
        <v>#VALUE!</v>
      </c>
    </row>
    <row r="842" spans="1:24" ht="15" customHeight="1">
      <c r="A842" s="52"/>
      <c r="B842" s="8">
        <v>7.5</v>
      </c>
      <c r="C842" s="8">
        <f t="shared" si="122"/>
        <v>3.75</v>
      </c>
      <c r="D842" s="16" t="s">
        <v>25</v>
      </c>
      <c r="E842" s="12" t="s">
        <v>58</v>
      </c>
      <c r="F842" s="17" t="s">
        <v>34</v>
      </c>
      <c r="G842" s="17" t="s">
        <v>35</v>
      </c>
      <c r="H842" s="17" t="s">
        <v>29</v>
      </c>
      <c r="I842" s="17" t="s">
        <v>132</v>
      </c>
      <c r="J842" s="8">
        <v>1.06</v>
      </c>
      <c r="K842" s="8">
        <v>2.2000000000000002</v>
      </c>
      <c r="L842" s="8">
        <f t="shared" si="138"/>
        <v>107.54716981132076</v>
      </c>
      <c r="M842" s="9">
        <v>54</v>
      </c>
      <c r="N842" s="9">
        <v>133</v>
      </c>
      <c r="O842" s="10">
        <f t="shared" ref="O842:O911" si="147">(N842-M842)/M842*100</f>
        <v>146.2962962962963</v>
      </c>
      <c r="P842" s="11" t="s">
        <v>31</v>
      </c>
      <c r="Q842" s="11" t="s">
        <v>31</v>
      </c>
      <c r="R842" s="11" t="s">
        <v>31</v>
      </c>
      <c r="S842" s="37">
        <f t="shared" si="139"/>
        <v>1.0253058652647702</v>
      </c>
      <c r="T842" s="37">
        <f t="shared" si="140"/>
        <v>3.0315989860717023</v>
      </c>
      <c r="U842" s="42">
        <f t="shared" si="141"/>
        <v>2.7323937598229686</v>
      </c>
      <c r="V842" s="41">
        <f t="shared" si="142"/>
        <v>3.1652333314674728</v>
      </c>
      <c r="W842" s="43" t="e">
        <f t="shared" si="143"/>
        <v>#VALUE!</v>
      </c>
      <c r="X842" s="43" t="e">
        <f t="shared" si="144"/>
        <v>#VALUE!</v>
      </c>
    </row>
    <row r="843" spans="1:24" ht="15" customHeight="1">
      <c r="A843" s="52"/>
      <c r="B843" s="8">
        <v>10</v>
      </c>
      <c r="C843" s="8">
        <f t="shared" si="122"/>
        <v>5</v>
      </c>
      <c r="D843" s="16" t="s">
        <v>25</v>
      </c>
      <c r="E843" s="12" t="s">
        <v>58</v>
      </c>
      <c r="F843" s="17" t="s">
        <v>34</v>
      </c>
      <c r="G843" s="17" t="s">
        <v>35</v>
      </c>
      <c r="H843" s="17" t="s">
        <v>29</v>
      </c>
      <c r="I843" s="17" t="s">
        <v>132</v>
      </c>
      <c r="J843" s="8">
        <v>1.06</v>
      </c>
      <c r="K843" s="8">
        <v>2.42</v>
      </c>
      <c r="L843" s="8">
        <f t="shared" si="138"/>
        <v>128.30188679245279</v>
      </c>
      <c r="M843" s="9">
        <v>54</v>
      </c>
      <c r="N843" s="9">
        <v>141</v>
      </c>
      <c r="O843" s="10">
        <f t="shared" si="147"/>
        <v>161.11111111111111</v>
      </c>
      <c r="P843" s="11" t="s">
        <v>31</v>
      </c>
      <c r="Q843" s="11" t="s">
        <v>31</v>
      </c>
      <c r="R843" s="11" t="s">
        <v>31</v>
      </c>
      <c r="S843" s="37">
        <f t="shared" si="139"/>
        <v>1.0253058652647702</v>
      </c>
      <c r="T843" s="37">
        <f t="shared" si="140"/>
        <v>3.108233043105447</v>
      </c>
      <c r="U843" s="42">
        <f t="shared" si="141"/>
        <v>2.7323937598229686</v>
      </c>
      <c r="V843" s="41">
        <f t="shared" si="142"/>
        <v>3.2071254927956501</v>
      </c>
      <c r="W843" s="43" t="e">
        <f t="shared" si="143"/>
        <v>#VALUE!</v>
      </c>
      <c r="X843" s="43" t="e">
        <f t="shared" si="144"/>
        <v>#VALUE!</v>
      </c>
    </row>
    <row r="844" spans="1:24" ht="15" customHeight="1">
      <c r="A844" s="53"/>
      <c r="B844" s="8">
        <v>10</v>
      </c>
      <c r="C844" s="8">
        <f t="shared" si="122"/>
        <v>5</v>
      </c>
      <c r="D844" s="16" t="s">
        <v>25</v>
      </c>
      <c r="E844" s="12" t="s">
        <v>58</v>
      </c>
      <c r="F844" s="17" t="s">
        <v>34</v>
      </c>
      <c r="G844" s="17" t="s">
        <v>35</v>
      </c>
      <c r="H844" s="17" t="s">
        <v>29</v>
      </c>
      <c r="I844" s="17" t="s">
        <v>36</v>
      </c>
      <c r="J844" s="8">
        <v>1.5</v>
      </c>
      <c r="K844" s="8">
        <v>2.66</v>
      </c>
      <c r="L844" s="8">
        <f t="shared" si="138"/>
        <v>77.333333333333343</v>
      </c>
      <c r="M844" s="9" t="s">
        <v>31</v>
      </c>
      <c r="N844" s="9" t="s">
        <v>31</v>
      </c>
      <c r="O844" s="10" t="s">
        <v>31</v>
      </c>
      <c r="P844" s="11" t="s">
        <v>31</v>
      </c>
      <c r="Q844" s="11" t="s">
        <v>31</v>
      </c>
      <c r="R844" s="11" t="s">
        <v>31</v>
      </c>
      <c r="S844" s="37">
        <f t="shared" si="139"/>
        <v>1.1760912590556813</v>
      </c>
      <c r="T844" s="37">
        <f t="shared" si="140"/>
        <v>2.8883667301712372</v>
      </c>
      <c r="U844" s="42" t="e">
        <f t="shared" si="141"/>
        <v>#VALUE!</v>
      </c>
      <c r="V844" s="41" t="e">
        <f t="shared" si="142"/>
        <v>#VALUE!</v>
      </c>
      <c r="W844" s="43" t="e">
        <f t="shared" si="143"/>
        <v>#VALUE!</v>
      </c>
      <c r="X844" s="43" t="e">
        <f t="shared" si="144"/>
        <v>#VALUE!</v>
      </c>
    </row>
    <row r="845" spans="1:24" ht="15" customHeight="1">
      <c r="A845" s="45" t="s">
        <v>280</v>
      </c>
      <c r="B845" s="8">
        <v>5</v>
      </c>
      <c r="C845" s="8">
        <f t="shared" si="122"/>
        <v>2.5</v>
      </c>
      <c r="D845" s="16" t="s">
        <v>25</v>
      </c>
      <c r="E845" s="12" t="s">
        <v>107</v>
      </c>
      <c r="F845" s="17" t="s">
        <v>34</v>
      </c>
      <c r="G845" s="17" t="s">
        <v>28</v>
      </c>
      <c r="H845" s="17" t="s">
        <v>29</v>
      </c>
      <c r="I845" s="17" t="s">
        <v>36</v>
      </c>
      <c r="J845" s="8">
        <v>2.66</v>
      </c>
      <c r="K845" s="8">
        <v>3.66</v>
      </c>
      <c r="L845" s="8">
        <f t="shared" si="138"/>
        <v>37.593984962406012</v>
      </c>
      <c r="M845" s="9">
        <v>64.2</v>
      </c>
      <c r="N845" s="9">
        <v>83.4</v>
      </c>
      <c r="O845" s="10">
        <f t="shared" si="147"/>
        <v>29.90654205607477</v>
      </c>
      <c r="P845" s="11">
        <v>0.4</v>
      </c>
      <c r="Q845" s="11">
        <v>0.38</v>
      </c>
      <c r="R845" s="33">
        <f t="shared" si="131"/>
        <v>-5.0000000000000044</v>
      </c>
      <c r="S845" s="37">
        <f t="shared" si="139"/>
        <v>1.424881636631067</v>
      </c>
      <c r="T845" s="37">
        <f t="shared" si="140"/>
        <v>2.575118363368933</v>
      </c>
      <c r="U845" s="42">
        <f t="shared" si="141"/>
        <v>2.8075350280688531</v>
      </c>
      <c r="V845" s="41">
        <f t="shared" si="142"/>
        <v>2.4757662006346965</v>
      </c>
      <c r="W845" s="43">
        <f t="shared" si="143"/>
        <v>0.6020599913279624</v>
      </c>
      <c r="X845" s="43" t="e">
        <f t="shared" si="144"/>
        <v>#NUM!</v>
      </c>
    </row>
    <row r="846" spans="1:24" ht="15" customHeight="1">
      <c r="A846" s="49"/>
      <c r="B846" s="8">
        <v>5</v>
      </c>
      <c r="C846" s="8">
        <f t="shared" si="122"/>
        <v>2.5</v>
      </c>
      <c r="D846" s="16" t="s">
        <v>25</v>
      </c>
      <c r="E846" s="12" t="s">
        <v>107</v>
      </c>
      <c r="F846" s="17" t="s">
        <v>112</v>
      </c>
      <c r="G846" s="17" t="s">
        <v>37</v>
      </c>
      <c r="H846" s="17" t="s">
        <v>29</v>
      </c>
      <c r="I846" s="17" t="s">
        <v>36</v>
      </c>
      <c r="J846" s="8">
        <v>2.66</v>
      </c>
      <c r="K846" s="8">
        <v>3.01</v>
      </c>
      <c r="L846" s="8">
        <f t="shared" si="138"/>
        <v>13.15789473684209</v>
      </c>
      <c r="M846" s="9">
        <v>64.2</v>
      </c>
      <c r="N846" s="9">
        <v>75.400000000000006</v>
      </c>
      <c r="O846" s="10">
        <f t="shared" si="147"/>
        <v>17.445482866043619</v>
      </c>
      <c r="P846" s="11">
        <v>0.4</v>
      </c>
      <c r="Q846" s="11">
        <v>0.14000000000000001</v>
      </c>
      <c r="R846" s="33">
        <f t="shared" si="131"/>
        <v>-65</v>
      </c>
      <c r="S846" s="37">
        <f t="shared" si="139"/>
        <v>1.424881636631067</v>
      </c>
      <c r="T846" s="37">
        <f t="shared" si="140"/>
        <v>2.1191864077192082</v>
      </c>
      <c r="U846" s="42">
        <f t="shared" si="141"/>
        <v>2.8075350280688531</v>
      </c>
      <c r="V846" s="41">
        <f t="shared" si="142"/>
        <v>2.2416829946013284</v>
      </c>
      <c r="W846" s="43">
        <f t="shared" si="143"/>
        <v>0.6020599913279624</v>
      </c>
      <c r="X846" s="43" t="e">
        <f t="shared" si="144"/>
        <v>#NUM!</v>
      </c>
    </row>
    <row r="847" spans="1:24" ht="15" customHeight="1">
      <c r="A847" s="49"/>
      <c r="B847" s="8">
        <v>5</v>
      </c>
      <c r="C847" s="8">
        <f t="shared" si="122"/>
        <v>2.5</v>
      </c>
      <c r="D847" s="16" t="s">
        <v>25</v>
      </c>
      <c r="E847" s="12" t="s">
        <v>107</v>
      </c>
      <c r="F847" s="17" t="s">
        <v>112</v>
      </c>
      <c r="G847" s="17" t="s">
        <v>38</v>
      </c>
      <c r="H847" s="17" t="s">
        <v>29</v>
      </c>
      <c r="I847" s="17" t="s">
        <v>36</v>
      </c>
      <c r="J847" s="8">
        <v>2.66</v>
      </c>
      <c r="K847" s="8">
        <v>3.26</v>
      </c>
      <c r="L847" s="8">
        <f t="shared" si="138"/>
        <v>22.556390977443595</v>
      </c>
      <c r="M847" s="9">
        <v>64.2</v>
      </c>
      <c r="N847" s="9">
        <v>72.599999999999994</v>
      </c>
      <c r="O847" s="10">
        <f t="shared" si="147"/>
        <v>13.084112149532695</v>
      </c>
      <c r="P847" s="11">
        <v>0.4</v>
      </c>
      <c r="Q847" s="11">
        <v>0.14000000000000001</v>
      </c>
      <c r="R847" s="33">
        <f t="shared" si="131"/>
        <v>-65</v>
      </c>
      <c r="S847" s="37">
        <f t="shared" si="139"/>
        <v>1.424881636631067</v>
      </c>
      <c r="T847" s="37">
        <f t="shared" si="140"/>
        <v>2.3532696137525764</v>
      </c>
      <c r="U847" s="42">
        <f t="shared" si="141"/>
        <v>2.8075350280688531</v>
      </c>
      <c r="V847" s="41">
        <f t="shared" si="142"/>
        <v>2.116744257993028</v>
      </c>
      <c r="W847" s="43">
        <f t="shared" si="143"/>
        <v>0.6020599913279624</v>
      </c>
      <c r="X847" s="43" t="e">
        <f t="shared" si="144"/>
        <v>#NUM!</v>
      </c>
    </row>
    <row r="848" spans="1:24" ht="15" customHeight="1">
      <c r="A848" s="49"/>
      <c r="B848" s="8">
        <v>3.16</v>
      </c>
      <c r="C848" s="8">
        <f t="shared" si="122"/>
        <v>1.58</v>
      </c>
      <c r="D848" s="16" t="s">
        <v>25</v>
      </c>
      <c r="E848" s="12" t="s">
        <v>107</v>
      </c>
      <c r="F848" s="17" t="s">
        <v>34</v>
      </c>
      <c r="G848" s="17" t="s">
        <v>28</v>
      </c>
      <c r="H848" s="17" t="s">
        <v>29</v>
      </c>
      <c r="I848" s="17" t="s">
        <v>36</v>
      </c>
      <c r="J848" s="8">
        <v>2.66</v>
      </c>
      <c r="K848" s="8">
        <v>3.47</v>
      </c>
      <c r="L848" s="8">
        <f t="shared" si="138"/>
        <v>30.451127819548873</v>
      </c>
      <c r="M848" s="9">
        <v>64.2</v>
      </c>
      <c r="N848" s="9">
        <v>74</v>
      </c>
      <c r="O848" s="10">
        <f t="shared" si="147"/>
        <v>15.264797507788158</v>
      </c>
      <c r="P848" s="11">
        <v>0.4</v>
      </c>
      <c r="Q848" s="11">
        <v>0.12</v>
      </c>
      <c r="R848" s="33">
        <f t="shared" si="131"/>
        <v>-70</v>
      </c>
      <c r="S848" s="37">
        <f t="shared" si="139"/>
        <v>1.424881636631067</v>
      </c>
      <c r="T848" s="37">
        <f t="shared" si="140"/>
        <v>2.4836033822475829</v>
      </c>
      <c r="U848" s="42">
        <f t="shared" si="141"/>
        <v>2.8075350280688531</v>
      </c>
      <c r="V848" s="41">
        <f t="shared" si="142"/>
        <v>2.1836910476236415</v>
      </c>
      <c r="W848" s="43">
        <f t="shared" si="143"/>
        <v>0.6020599913279624</v>
      </c>
      <c r="X848" s="43" t="e">
        <f t="shared" si="144"/>
        <v>#NUM!</v>
      </c>
    </row>
    <row r="849" spans="1:24" ht="15" customHeight="1">
      <c r="A849" s="50"/>
      <c r="B849" s="8">
        <v>4</v>
      </c>
      <c r="C849" s="8">
        <f t="shared" si="122"/>
        <v>2</v>
      </c>
      <c r="D849" s="16" t="s">
        <v>25</v>
      </c>
      <c r="E849" s="12" t="s">
        <v>107</v>
      </c>
      <c r="F849" s="17" t="s">
        <v>34</v>
      </c>
      <c r="G849" s="17" t="s">
        <v>28</v>
      </c>
      <c r="H849" s="17" t="s">
        <v>29</v>
      </c>
      <c r="I849" s="17" t="s">
        <v>36</v>
      </c>
      <c r="J849" s="8">
        <v>1.1100000000000001</v>
      </c>
      <c r="K849" s="8">
        <v>1.87</v>
      </c>
      <c r="L849" s="8">
        <f t="shared" si="138"/>
        <v>68.468468468468473</v>
      </c>
      <c r="M849" s="9">
        <v>68.599999999999994</v>
      </c>
      <c r="N849" s="9">
        <v>97.2</v>
      </c>
      <c r="O849" s="10">
        <f t="shared" si="147"/>
        <v>41.690962099125379</v>
      </c>
      <c r="P849" s="11">
        <v>1</v>
      </c>
      <c r="Q849" s="11">
        <v>7.2999999999999995E-2</v>
      </c>
      <c r="R849" s="33">
        <f t="shared" si="131"/>
        <v>-92.7</v>
      </c>
      <c r="S849" s="37">
        <f t="shared" si="139"/>
        <v>1.0453229787866576</v>
      </c>
      <c r="T849" s="37">
        <f t="shared" si="140"/>
        <v>2.8354906134941338</v>
      </c>
      <c r="U849" s="42">
        <f t="shared" si="141"/>
        <v>2.8363241157067516</v>
      </c>
      <c r="V849" s="41">
        <f t="shared" si="142"/>
        <v>2.6200419174222915</v>
      </c>
      <c r="W849" s="43">
        <f>LOG10(P849*10)</f>
        <v>1</v>
      </c>
      <c r="X849" s="43" t="e">
        <f t="shared" si="144"/>
        <v>#NUM!</v>
      </c>
    </row>
    <row r="850" spans="1:24" ht="15" customHeight="1">
      <c r="A850" s="45" t="s">
        <v>281</v>
      </c>
      <c r="B850" s="8">
        <v>1</v>
      </c>
      <c r="C850" s="8">
        <f t="shared" si="122"/>
        <v>0.5</v>
      </c>
      <c r="D850" s="16" t="s">
        <v>25</v>
      </c>
      <c r="E850" s="12" t="s">
        <v>107</v>
      </c>
      <c r="F850" s="17" t="s">
        <v>34</v>
      </c>
      <c r="G850" s="17" t="s">
        <v>28</v>
      </c>
      <c r="H850" s="17" t="s">
        <v>29</v>
      </c>
      <c r="I850" s="17" t="s">
        <v>36</v>
      </c>
      <c r="J850" s="8">
        <v>1.2</v>
      </c>
      <c r="K850" s="8">
        <v>0.9</v>
      </c>
      <c r="L850" s="8">
        <f t="shared" si="138"/>
        <v>-24.999999999999993</v>
      </c>
      <c r="M850" s="9">
        <v>28</v>
      </c>
      <c r="N850" s="9">
        <v>31</v>
      </c>
      <c r="O850" s="10">
        <f t="shared" si="147"/>
        <v>10.714285714285714</v>
      </c>
      <c r="P850" s="11" t="s">
        <v>31</v>
      </c>
      <c r="Q850" s="11" t="s">
        <v>31</v>
      </c>
      <c r="R850" s="33" t="e">
        <f t="shared" si="131"/>
        <v>#VALUE!</v>
      </c>
      <c r="S850" s="37">
        <f t="shared" si="139"/>
        <v>1.0791812460476249</v>
      </c>
      <c r="T850" s="37" t="e">
        <f t="shared" si="140"/>
        <v>#NUM!</v>
      </c>
      <c r="U850" s="42">
        <f t="shared" si="141"/>
        <v>2.4471580313422194</v>
      </c>
      <c r="V850" s="41">
        <f t="shared" si="142"/>
        <v>2.0299632233774432</v>
      </c>
      <c r="W850" s="43" t="e">
        <f t="shared" si="143"/>
        <v>#VALUE!</v>
      </c>
      <c r="X850" s="43" t="e">
        <f t="shared" si="144"/>
        <v>#VALUE!</v>
      </c>
    </row>
    <row r="851" spans="1:24" ht="15" customHeight="1">
      <c r="A851" s="49"/>
      <c r="B851" s="8">
        <v>2</v>
      </c>
      <c r="C851" s="8">
        <f t="shared" si="122"/>
        <v>1</v>
      </c>
      <c r="D851" s="16" t="s">
        <v>25</v>
      </c>
      <c r="E851" s="12" t="s">
        <v>107</v>
      </c>
      <c r="F851" s="17" t="s">
        <v>34</v>
      </c>
      <c r="G851" s="17" t="s">
        <v>28</v>
      </c>
      <c r="H851" s="17" t="s">
        <v>29</v>
      </c>
      <c r="I851" s="17" t="s">
        <v>36</v>
      </c>
      <c r="J851" s="8">
        <v>1.2</v>
      </c>
      <c r="K851" s="8">
        <v>1</v>
      </c>
      <c r="L851" s="8">
        <f t="shared" si="138"/>
        <v>-16.666666666666664</v>
      </c>
      <c r="M851" s="9">
        <v>28</v>
      </c>
      <c r="N851" s="9">
        <v>32</v>
      </c>
      <c r="O851" s="10">
        <f t="shared" si="147"/>
        <v>14.285714285714285</v>
      </c>
      <c r="P851" s="11" t="s">
        <v>31</v>
      </c>
      <c r="Q851" s="11" t="s">
        <v>31</v>
      </c>
      <c r="R851" s="33" t="e">
        <f t="shared" si="131"/>
        <v>#VALUE!</v>
      </c>
      <c r="S851" s="37">
        <f t="shared" si="139"/>
        <v>1.0791812460476249</v>
      </c>
      <c r="T851" s="37" t="e">
        <f t="shared" si="140"/>
        <v>#NUM!</v>
      </c>
      <c r="U851" s="42">
        <f t="shared" si="141"/>
        <v>2.4471580313422194</v>
      </c>
      <c r="V851" s="41">
        <f t="shared" si="142"/>
        <v>2.1549019599857431</v>
      </c>
      <c r="W851" s="43" t="e">
        <f t="shared" si="143"/>
        <v>#VALUE!</v>
      </c>
      <c r="X851" s="43" t="e">
        <f t="shared" si="144"/>
        <v>#VALUE!</v>
      </c>
    </row>
    <row r="852" spans="1:24" ht="15" customHeight="1">
      <c r="A852" s="49"/>
      <c r="B852" s="8">
        <v>3</v>
      </c>
      <c r="C852" s="8">
        <f t="shared" si="122"/>
        <v>1.5</v>
      </c>
      <c r="D852" s="16" t="s">
        <v>25</v>
      </c>
      <c r="E852" s="12" t="s">
        <v>107</v>
      </c>
      <c r="F852" s="17" t="s">
        <v>34</v>
      </c>
      <c r="G852" s="17" t="s">
        <v>28</v>
      </c>
      <c r="H852" s="17" t="s">
        <v>29</v>
      </c>
      <c r="I852" s="17" t="s">
        <v>36</v>
      </c>
      <c r="J852" s="8">
        <v>1.2</v>
      </c>
      <c r="K852" s="8">
        <v>1.2</v>
      </c>
      <c r="L852" s="8">
        <f t="shared" si="138"/>
        <v>0</v>
      </c>
      <c r="M852" s="9">
        <v>28</v>
      </c>
      <c r="N852" s="9">
        <v>35</v>
      </c>
      <c r="O852" s="10">
        <f t="shared" si="147"/>
        <v>25</v>
      </c>
      <c r="P852" s="11" t="s">
        <v>31</v>
      </c>
      <c r="Q852" s="11" t="s">
        <v>31</v>
      </c>
      <c r="R852" s="33" t="e">
        <f t="shared" si="131"/>
        <v>#VALUE!</v>
      </c>
      <c r="S852" s="37">
        <f t="shared" si="139"/>
        <v>1.0791812460476249</v>
      </c>
      <c r="T852" s="37" t="e">
        <f t="shared" si="140"/>
        <v>#NUM!</v>
      </c>
      <c r="U852" s="42">
        <f t="shared" si="141"/>
        <v>2.4471580313422194</v>
      </c>
      <c r="V852" s="41">
        <f t="shared" si="142"/>
        <v>2.3979400086720375</v>
      </c>
      <c r="W852" s="43" t="e">
        <f t="shared" si="143"/>
        <v>#VALUE!</v>
      </c>
      <c r="X852" s="43" t="e">
        <f t="shared" si="144"/>
        <v>#VALUE!</v>
      </c>
    </row>
    <row r="853" spans="1:24" ht="15" customHeight="1">
      <c r="A853" s="50"/>
      <c r="B853" s="8">
        <v>5</v>
      </c>
      <c r="C853" s="8">
        <f t="shared" si="122"/>
        <v>2.5</v>
      </c>
      <c r="D853" s="16" t="s">
        <v>25</v>
      </c>
      <c r="E853" s="12" t="s">
        <v>107</v>
      </c>
      <c r="F853" s="17" t="s">
        <v>34</v>
      </c>
      <c r="G853" s="17" t="s">
        <v>28</v>
      </c>
      <c r="H853" s="17" t="s">
        <v>29</v>
      </c>
      <c r="I853" s="17" t="s">
        <v>36</v>
      </c>
      <c r="J853" s="8">
        <v>1.2</v>
      </c>
      <c r="K853" s="8">
        <v>1.3</v>
      </c>
      <c r="L853" s="8">
        <f t="shared" si="138"/>
        <v>8.333333333333341</v>
      </c>
      <c r="M853" s="9">
        <v>28</v>
      </c>
      <c r="N853" s="9">
        <v>36</v>
      </c>
      <c r="O853" s="10">
        <f t="shared" si="147"/>
        <v>28.571428571428569</v>
      </c>
      <c r="P853" s="11" t="s">
        <v>31</v>
      </c>
      <c r="Q853" s="11" t="s">
        <v>31</v>
      </c>
      <c r="R853" s="33" t="e">
        <f t="shared" si="131"/>
        <v>#VALUE!</v>
      </c>
      <c r="S853" s="37">
        <f t="shared" si="139"/>
        <v>1.0791812460476249</v>
      </c>
      <c r="T853" s="37">
        <f t="shared" si="140"/>
        <v>1.9208187539523756</v>
      </c>
      <c r="U853" s="42">
        <f t="shared" si="141"/>
        <v>2.4471580313422194</v>
      </c>
      <c r="V853" s="41">
        <f t="shared" si="142"/>
        <v>2.4559319556497243</v>
      </c>
      <c r="W853" s="43" t="e">
        <f t="shared" si="143"/>
        <v>#VALUE!</v>
      </c>
      <c r="X853" s="43" t="e">
        <f t="shared" si="144"/>
        <v>#VALUE!</v>
      </c>
    </row>
    <row r="854" spans="1:24" ht="15" customHeight="1">
      <c r="A854" s="45" t="s">
        <v>282</v>
      </c>
      <c r="B854" s="8">
        <v>1</v>
      </c>
      <c r="C854" s="8">
        <f t="shared" si="122"/>
        <v>0.5</v>
      </c>
      <c r="D854" s="16" t="s">
        <v>25</v>
      </c>
      <c r="E854" s="12" t="s">
        <v>107</v>
      </c>
      <c r="F854" s="17" t="s">
        <v>34</v>
      </c>
      <c r="G854" s="17" t="s">
        <v>28</v>
      </c>
      <c r="H854" s="17" t="s">
        <v>29</v>
      </c>
      <c r="I854" s="17" t="s">
        <v>36</v>
      </c>
      <c r="J854" s="8">
        <v>1.986</v>
      </c>
      <c r="K854" s="8">
        <v>2.8330000000000002</v>
      </c>
      <c r="L854" s="8">
        <f t="shared" si="138"/>
        <v>42.648539778449148</v>
      </c>
      <c r="M854" s="9">
        <v>60.881</v>
      </c>
      <c r="N854" s="9">
        <v>67.5</v>
      </c>
      <c r="O854" s="10">
        <f t="shared" si="147"/>
        <v>10.872029040258866</v>
      </c>
      <c r="P854" s="11">
        <v>0.22700000000000001</v>
      </c>
      <c r="Q854" s="11">
        <v>3.5000000000000003E-2</v>
      </c>
      <c r="R854" s="33">
        <f t="shared" si="131"/>
        <v>-84.581497797356832</v>
      </c>
      <c r="S854" s="37">
        <f t="shared" si="139"/>
        <v>1.2979792441593623</v>
      </c>
      <c r="T854" s="37">
        <f t="shared" si="140"/>
        <v>2.6299041661713445</v>
      </c>
      <c r="U854" s="42">
        <f t="shared" si="141"/>
        <v>2.7844817773189412</v>
      </c>
      <c r="V854" s="41">
        <f t="shared" si="142"/>
        <v>2.0363106037692624</v>
      </c>
      <c r="W854" s="43">
        <f t="shared" si="143"/>
        <v>0.35602585719312274</v>
      </c>
      <c r="X854" s="43" t="e">
        <f t="shared" si="144"/>
        <v>#NUM!</v>
      </c>
    </row>
    <row r="855" spans="1:24" ht="15" customHeight="1">
      <c r="A855" s="49"/>
      <c r="B855" s="8">
        <v>3</v>
      </c>
      <c r="C855" s="8">
        <f t="shared" si="122"/>
        <v>1.5</v>
      </c>
      <c r="D855" s="16" t="s">
        <v>25</v>
      </c>
      <c r="E855" s="12" t="s">
        <v>107</v>
      </c>
      <c r="F855" s="17" t="s">
        <v>34</v>
      </c>
      <c r="G855" s="17" t="s">
        <v>28</v>
      </c>
      <c r="H855" s="17" t="s">
        <v>29</v>
      </c>
      <c r="I855" s="17" t="s">
        <v>36</v>
      </c>
      <c r="J855" s="8">
        <v>1.986</v>
      </c>
      <c r="K855" s="8">
        <v>3.097</v>
      </c>
      <c r="L855" s="8">
        <f t="shared" si="138"/>
        <v>55.941591137965766</v>
      </c>
      <c r="M855" s="9">
        <v>60.881</v>
      </c>
      <c r="N855" s="9">
        <v>62.587000000000003</v>
      </c>
      <c r="O855" s="10">
        <f t="shared" si="147"/>
        <v>2.8021878747063993</v>
      </c>
      <c r="P855" s="11">
        <v>0.22700000000000001</v>
      </c>
      <c r="Q855" s="11">
        <v>2.4E-2</v>
      </c>
      <c r="R855" s="33">
        <f t="shared" si="131"/>
        <v>-89.427312775330407</v>
      </c>
      <c r="S855" s="37">
        <f t="shared" si="139"/>
        <v>1.2979792441593623</v>
      </c>
      <c r="T855" s="37">
        <f t="shared" si="140"/>
        <v>2.7477348147815053</v>
      </c>
      <c r="U855" s="42">
        <f t="shared" si="141"/>
        <v>2.7844817773189412</v>
      </c>
      <c r="V855" s="41">
        <f t="shared" si="142"/>
        <v>1.447497249512564</v>
      </c>
      <c r="W855" s="43">
        <f t="shared" si="143"/>
        <v>0.35602585719312274</v>
      </c>
      <c r="X855" s="43" t="e">
        <f t="shared" si="144"/>
        <v>#NUM!</v>
      </c>
    </row>
    <row r="856" spans="1:24" ht="15" customHeight="1">
      <c r="A856" s="49"/>
      <c r="B856" s="8">
        <v>5</v>
      </c>
      <c r="C856" s="8">
        <f t="shared" si="122"/>
        <v>2.5</v>
      </c>
      <c r="D856" s="16" t="s">
        <v>25</v>
      </c>
      <c r="E856" s="12" t="s">
        <v>107</v>
      </c>
      <c r="F856" s="17" t="s">
        <v>34</v>
      </c>
      <c r="G856" s="17" t="s">
        <v>28</v>
      </c>
      <c r="H856" s="17" t="s">
        <v>29</v>
      </c>
      <c r="I856" s="17" t="s">
        <v>36</v>
      </c>
      <c r="J856" s="8">
        <v>1.986</v>
      </c>
      <c r="K856" s="8">
        <v>3.1219999999999999</v>
      </c>
      <c r="L856" s="8">
        <f t="shared" si="138"/>
        <v>57.200402819738159</v>
      </c>
      <c r="M856" s="9">
        <v>60.881</v>
      </c>
      <c r="N856" s="9">
        <v>53.365000000000002</v>
      </c>
      <c r="O856" s="10">
        <f t="shared" si="147"/>
        <v>-12.345395115060525</v>
      </c>
      <c r="P856" s="11">
        <v>0.22700000000000001</v>
      </c>
      <c r="Q856" s="11">
        <v>1.6E-2</v>
      </c>
      <c r="R856" s="33">
        <f t="shared" si="131"/>
        <v>-92.951541850220266</v>
      </c>
      <c r="S856" s="37">
        <f t="shared" ref="S856" si="148">LOG10(J856*10)</f>
        <v>1.2979792441593623</v>
      </c>
      <c r="T856" s="37">
        <f t="shared" ref="T856" si="149">LOG10(L856*10)</f>
        <v>2.7573990872156378</v>
      </c>
      <c r="U856" s="42">
        <f t="shared" ref="U856" si="150">LOG10(M856*10)</f>
        <v>2.7844817773189412</v>
      </c>
      <c r="V856" s="41" t="e">
        <f t="shared" ref="V856" si="151">LOG10(O856*10)</f>
        <v>#NUM!</v>
      </c>
      <c r="W856" s="43">
        <f t="shared" ref="W856" si="152">LOG10(P856*10)</f>
        <v>0.35602585719312274</v>
      </c>
      <c r="X856" s="43" t="e">
        <f t="shared" ref="X856" si="153">LOG10(R856*10)</f>
        <v>#NUM!</v>
      </c>
    </row>
    <row r="857" spans="1:24" ht="15" customHeight="1">
      <c r="A857" s="49"/>
      <c r="B857" s="8">
        <v>1</v>
      </c>
      <c r="C857" s="8">
        <f t="shared" si="122"/>
        <v>0.5</v>
      </c>
      <c r="D857" s="16" t="s">
        <v>25</v>
      </c>
      <c r="E857" s="12" t="s">
        <v>107</v>
      </c>
      <c r="F857" s="17" t="s">
        <v>112</v>
      </c>
      <c r="G857" s="17" t="s">
        <v>38</v>
      </c>
      <c r="H857" s="17" t="s">
        <v>29</v>
      </c>
      <c r="I857" s="17" t="s">
        <v>36</v>
      </c>
      <c r="J857" s="8">
        <v>1.986</v>
      </c>
      <c r="K857" s="8">
        <v>2.0510000000000002</v>
      </c>
      <c r="L857" s="8">
        <f t="shared" si="138"/>
        <v>3.272910372608266</v>
      </c>
      <c r="M857" s="9">
        <v>60.881</v>
      </c>
      <c r="N857" s="9">
        <v>16.643999999999998</v>
      </c>
      <c r="O857" s="10">
        <f t="shared" si="147"/>
        <v>-72.661421461539732</v>
      </c>
      <c r="P857" s="11">
        <v>0.22700000000000001</v>
      </c>
      <c r="Q857" s="11">
        <v>4.8000000000000001E-2</v>
      </c>
      <c r="R857" s="33">
        <f t="shared" si="131"/>
        <v>-78.854625550660785</v>
      </c>
      <c r="S857" s="37">
        <f t="shared" si="139"/>
        <v>1.2979792441593623</v>
      </c>
      <c r="T857" s="37">
        <f t="shared" si="140"/>
        <v>1.5149341124834943</v>
      </c>
      <c r="U857" s="42">
        <f t="shared" si="141"/>
        <v>2.7844817773189412</v>
      </c>
      <c r="V857" s="41" t="e">
        <f t="shared" si="142"/>
        <v>#NUM!</v>
      </c>
      <c r="W857" s="43">
        <f t="shared" si="143"/>
        <v>0.35602585719312274</v>
      </c>
      <c r="X857" s="43" t="e">
        <f t="shared" si="144"/>
        <v>#NUM!</v>
      </c>
    </row>
    <row r="858" spans="1:24" ht="15" customHeight="1">
      <c r="A858" s="49"/>
      <c r="B858" s="8">
        <v>3</v>
      </c>
      <c r="C858" s="8">
        <f t="shared" si="122"/>
        <v>1.5</v>
      </c>
      <c r="D858" s="16" t="s">
        <v>25</v>
      </c>
      <c r="E858" s="12" t="s">
        <v>107</v>
      </c>
      <c r="F858" s="17" t="s">
        <v>112</v>
      </c>
      <c r="G858" s="17" t="s">
        <v>38</v>
      </c>
      <c r="H858" s="17" t="s">
        <v>29</v>
      </c>
      <c r="I858" s="17" t="s">
        <v>36</v>
      </c>
      <c r="J858" s="8">
        <v>1.986</v>
      </c>
      <c r="K858" s="8">
        <v>2.0489999999999999</v>
      </c>
      <c r="L858" s="8">
        <f t="shared" si="138"/>
        <v>3.1722054380664626</v>
      </c>
      <c r="M858" s="9">
        <v>60.881</v>
      </c>
      <c r="N858" s="9">
        <v>14.532</v>
      </c>
      <c r="O858" s="10">
        <f t="shared" si="147"/>
        <v>-76.130484059066049</v>
      </c>
      <c r="P858" s="11">
        <v>0.22700000000000001</v>
      </c>
      <c r="Q858" s="11">
        <v>3.2000000000000001E-2</v>
      </c>
      <c r="R858" s="33">
        <f t="shared" si="131"/>
        <v>-85.903083700440533</v>
      </c>
      <c r="S858" s="37">
        <f t="shared" si="139"/>
        <v>1.2979792441593623</v>
      </c>
      <c r="T858" s="37">
        <f t="shared" si="140"/>
        <v>1.501361305294219</v>
      </c>
      <c r="U858" s="42">
        <f t="shared" si="141"/>
        <v>2.7844817773189412</v>
      </c>
      <c r="V858" s="41" t="e">
        <f t="shared" si="142"/>
        <v>#NUM!</v>
      </c>
      <c r="W858" s="43">
        <f t="shared" si="143"/>
        <v>0.35602585719312274</v>
      </c>
      <c r="X858" s="43" t="e">
        <f t="shared" si="144"/>
        <v>#NUM!</v>
      </c>
    </row>
    <row r="859" spans="1:24" ht="15" customHeight="1">
      <c r="A859" s="50"/>
      <c r="B859" s="8">
        <v>5</v>
      </c>
      <c r="C859" s="8">
        <f t="shared" si="122"/>
        <v>2.5</v>
      </c>
      <c r="D859" s="16" t="s">
        <v>25</v>
      </c>
      <c r="E859" s="12" t="s">
        <v>107</v>
      </c>
      <c r="F859" s="17" t="s">
        <v>112</v>
      </c>
      <c r="G859" s="17" t="s">
        <v>38</v>
      </c>
      <c r="H859" s="17" t="s">
        <v>29</v>
      </c>
      <c r="I859" s="17" t="s">
        <v>36</v>
      </c>
      <c r="J859" s="8">
        <v>1.986</v>
      </c>
      <c r="K859" s="8">
        <v>2.0409999999999999</v>
      </c>
      <c r="L859" s="8">
        <f t="shared" si="138"/>
        <v>2.7693856998992921</v>
      </c>
      <c r="M859" s="9">
        <v>60.881</v>
      </c>
      <c r="N859" s="9">
        <v>14.215</v>
      </c>
      <c r="O859" s="10">
        <f t="shared" si="147"/>
        <v>-76.651171958410671</v>
      </c>
      <c r="P859" s="11">
        <v>0.22700000000000001</v>
      </c>
      <c r="Q859" s="11">
        <v>4.2000000000000003E-2</v>
      </c>
      <c r="R859" s="33">
        <f t="shared" si="131"/>
        <v>-81.497797356828201</v>
      </c>
      <c r="S859" s="37">
        <f t="shared" si="139"/>
        <v>1.2979792441593623</v>
      </c>
      <c r="T859" s="37">
        <f t="shared" si="140"/>
        <v>1.4423834453348809</v>
      </c>
      <c r="U859" s="42">
        <f t="shared" si="141"/>
        <v>2.7844817773189412</v>
      </c>
      <c r="V859" s="41" t="e">
        <f t="shared" si="142"/>
        <v>#NUM!</v>
      </c>
      <c r="W859" s="43">
        <f t="shared" si="143"/>
        <v>0.35602585719312274</v>
      </c>
      <c r="X859" s="43" t="e">
        <f t="shared" si="144"/>
        <v>#NUM!</v>
      </c>
    </row>
    <row r="860" spans="1:24" ht="15" customHeight="1">
      <c r="A860" s="45" t="s">
        <v>283</v>
      </c>
      <c r="B860" s="8">
        <v>3.2</v>
      </c>
      <c r="C860" s="8">
        <f t="shared" si="122"/>
        <v>1.6</v>
      </c>
      <c r="D860" s="16" t="s">
        <v>25</v>
      </c>
      <c r="E860" s="12" t="s">
        <v>107</v>
      </c>
      <c r="F860" s="17" t="s">
        <v>34</v>
      </c>
      <c r="G860" s="17" t="s">
        <v>37</v>
      </c>
      <c r="H860" s="17" t="s">
        <v>29</v>
      </c>
      <c r="I860" s="17" t="s">
        <v>36</v>
      </c>
      <c r="J860" s="8">
        <v>2.82</v>
      </c>
      <c r="K860" s="8">
        <v>3.65</v>
      </c>
      <c r="L860" s="8">
        <f t="shared" si="138"/>
        <v>29.432624113475182</v>
      </c>
      <c r="M860" s="9">
        <v>69.2</v>
      </c>
      <c r="N860" s="9">
        <v>78.900000000000006</v>
      </c>
      <c r="O860" s="10">
        <f t="shared" si="147"/>
        <v>14.01734104046243</v>
      </c>
      <c r="P860" s="11">
        <v>0.04</v>
      </c>
      <c r="Q860" s="11">
        <v>3.5000000000000003E-2</v>
      </c>
      <c r="R860" s="33">
        <f t="shared" si="131"/>
        <v>-12.499999999999993</v>
      </c>
      <c r="S860" s="37">
        <f t="shared" si="139"/>
        <v>1.4502491083193612</v>
      </c>
      <c r="T860" s="37">
        <f t="shared" si="140"/>
        <v>2.4688289840567128</v>
      </c>
      <c r="U860" s="42">
        <f t="shared" si="141"/>
        <v>2.840106094456758</v>
      </c>
      <c r="V860" s="41">
        <f t="shared" si="142"/>
        <v>2.1466656398094872</v>
      </c>
      <c r="W860" s="43">
        <f t="shared" si="143"/>
        <v>-0.3979400086720376</v>
      </c>
      <c r="X860" s="43" t="e">
        <f t="shared" si="144"/>
        <v>#NUM!</v>
      </c>
    </row>
    <row r="861" spans="1:24" ht="15" customHeight="1">
      <c r="A861" s="49"/>
      <c r="B861" s="8">
        <v>6.4</v>
      </c>
      <c r="C861" s="8">
        <f t="shared" si="122"/>
        <v>3.2</v>
      </c>
      <c r="D861" s="16" t="s">
        <v>25</v>
      </c>
      <c r="E861" s="12" t="s">
        <v>107</v>
      </c>
      <c r="F861" s="17" t="s">
        <v>34</v>
      </c>
      <c r="G861" s="17" t="s">
        <v>37</v>
      </c>
      <c r="H861" s="17" t="s">
        <v>29</v>
      </c>
      <c r="I861" s="17" t="s">
        <v>36</v>
      </c>
      <c r="J861" s="8">
        <v>2.82</v>
      </c>
      <c r="K861" s="8">
        <v>4.92</v>
      </c>
      <c r="L861" s="8">
        <f t="shared" si="138"/>
        <v>74.468085106382986</v>
      </c>
      <c r="M861" s="9">
        <v>69.2</v>
      </c>
      <c r="N861" s="9">
        <v>83.6</v>
      </c>
      <c r="O861" s="10">
        <f t="shared" si="147"/>
        <v>20.809248554913282</v>
      </c>
      <c r="P861" s="11">
        <v>0.04</v>
      </c>
      <c r="Q861" s="11">
        <v>2.1999999999999999E-2</v>
      </c>
      <c r="R861" s="33">
        <f t="shared" si="131"/>
        <v>-45.000000000000007</v>
      </c>
      <c r="S861" s="37">
        <f t="shared" si="139"/>
        <v>1.4502491083193612</v>
      </c>
      <c r="T861" s="37">
        <f t="shared" si="140"/>
        <v>2.8719701864145581</v>
      </c>
      <c r="U861" s="42">
        <f t="shared" si="141"/>
        <v>2.840106094456758</v>
      </c>
      <c r="V861" s="41">
        <f t="shared" si="142"/>
        <v>2.3182563976384918</v>
      </c>
      <c r="W861" s="43">
        <f t="shared" si="143"/>
        <v>-0.3979400086720376</v>
      </c>
      <c r="X861" s="43" t="e">
        <f t="shared" si="144"/>
        <v>#NUM!</v>
      </c>
    </row>
    <row r="862" spans="1:24" ht="15" customHeight="1">
      <c r="A862" s="49"/>
      <c r="B862" s="8">
        <v>3.1</v>
      </c>
      <c r="C862" s="8">
        <f t="shared" si="122"/>
        <v>1.55</v>
      </c>
      <c r="D862" s="16" t="s">
        <v>25</v>
      </c>
      <c r="E862" s="12" t="s">
        <v>107</v>
      </c>
      <c r="F862" s="17" t="s">
        <v>34</v>
      </c>
      <c r="G862" s="17" t="s">
        <v>37</v>
      </c>
      <c r="H862" s="17" t="s">
        <v>29</v>
      </c>
      <c r="I862" s="17" t="s">
        <v>36</v>
      </c>
      <c r="J862" s="8">
        <v>2.71</v>
      </c>
      <c r="K862" s="8">
        <v>3.66</v>
      </c>
      <c r="L862" s="8">
        <f t="shared" si="138"/>
        <v>35.055350553505541</v>
      </c>
      <c r="M862" s="9">
        <v>70.2</v>
      </c>
      <c r="N862" s="9">
        <v>85.6</v>
      </c>
      <c r="O862" s="10">
        <f t="shared" si="147"/>
        <v>21.937321937321926</v>
      </c>
      <c r="P862" s="11">
        <v>0.04</v>
      </c>
      <c r="Q862" s="11">
        <v>3.5000000000000003E-2</v>
      </c>
      <c r="R862" s="33">
        <f t="shared" si="131"/>
        <v>-12.499999999999993</v>
      </c>
      <c r="S862" s="37">
        <f t="shared" si="139"/>
        <v>1.4329692908744058</v>
      </c>
      <c r="T862" s="37">
        <f t="shared" si="140"/>
        <v>2.5447543144144422</v>
      </c>
      <c r="U862" s="42">
        <f t="shared" si="141"/>
        <v>2.8463371121298051</v>
      </c>
      <c r="V862" s="41">
        <f t="shared" si="142"/>
        <v>2.3411836087066575</v>
      </c>
      <c r="W862" s="43">
        <f t="shared" si="143"/>
        <v>-0.3979400086720376</v>
      </c>
      <c r="X862" s="43" t="e">
        <f t="shared" si="144"/>
        <v>#NUM!</v>
      </c>
    </row>
    <row r="863" spans="1:24" ht="15" customHeight="1">
      <c r="A863" s="49"/>
      <c r="B863" s="8">
        <v>7.1</v>
      </c>
      <c r="C863" s="8">
        <f t="shared" si="122"/>
        <v>3.55</v>
      </c>
      <c r="D863" s="16" t="s">
        <v>25</v>
      </c>
      <c r="E863" s="12" t="s">
        <v>107</v>
      </c>
      <c r="F863" s="17" t="s">
        <v>34</v>
      </c>
      <c r="G863" s="17" t="s">
        <v>37</v>
      </c>
      <c r="H863" s="17" t="s">
        <v>29</v>
      </c>
      <c r="I863" s="17" t="s">
        <v>36</v>
      </c>
      <c r="J863" s="8">
        <v>2.71</v>
      </c>
      <c r="K863" s="8">
        <v>5.61</v>
      </c>
      <c r="L863" s="8">
        <f t="shared" si="138"/>
        <v>107.01107011070113</v>
      </c>
      <c r="M863" s="9">
        <v>70.2</v>
      </c>
      <c r="N863" s="9">
        <v>95.2</v>
      </c>
      <c r="O863" s="10">
        <f t="shared" si="147"/>
        <v>35.612535612535609</v>
      </c>
      <c r="P863" s="11">
        <v>0.04</v>
      </c>
      <c r="Q863" s="11">
        <v>2.4E-2</v>
      </c>
      <c r="R863" s="33">
        <f t="shared" si="131"/>
        <v>-40</v>
      </c>
      <c r="S863" s="37">
        <f t="shared" si="139"/>
        <v>1.4329692908744058</v>
      </c>
      <c r="T863" s="37">
        <f t="shared" si="140"/>
        <v>3.0294287070245502</v>
      </c>
      <c r="U863" s="42">
        <f t="shared" si="141"/>
        <v>2.8463371121298051</v>
      </c>
      <c r="V863" s="41">
        <f t="shared" si="142"/>
        <v>2.5516028965422324</v>
      </c>
      <c r="W863" s="43">
        <f t="shared" si="143"/>
        <v>-0.3979400086720376</v>
      </c>
      <c r="X863" s="43" t="e">
        <f t="shared" si="144"/>
        <v>#NUM!</v>
      </c>
    </row>
    <row r="864" spans="1:24" ht="15" customHeight="1">
      <c r="A864" s="49"/>
      <c r="B864" s="8">
        <v>3.2</v>
      </c>
      <c r="C864" s="8">
        <f t="shared" si="122"/>
        <v>1.6</v>
      </c>
      <c r="D864" s="16" t="s">
        <v>25</v>
      </c>
      <c r="E864" s="12" t="s">
        <v>107</v>
      </c>
      <c r="F864" s="17" t="s">
        <v>34</v>
      </c>
      <c r="G864" s="17" t="s">
        <v>37</v>
      </c>
      <c r="H864" s="17" t="s">
        <v>29</v>
      </c>
      <c r="I864" s="17" t="s">
        <v>36</v>
      </c>
      <c r="J864" s="8">
        <v>2.75</v>
      </c>
      <c r="K864" s="8">
        <v>3.92</v>
      </c>
      <c r="L864" s="8">
        <f t="shared" si="138"/>
        <v>42.54545454545454</v>
      </c>
      <c r="M864" s="9">
        <v>69.7</v>
      </c>
      <c r="N864" s="9">
        <v>84.9</v>
      </c>
      <c r="O864" s="10">
        <f t="shared" si="147"/>
        <v>21.807747489239603</v>
      </c>
      <c r="P864" s="11">
        <v>0.04</v>
      </c>
      <c r="Q864" s="11">
        <v>3.3000000000000002E-2</v>
      </c>
      <c r="R864" s="33">
        <f t="shared" si="131"/>
        <v>-17.5</v>
      </c>
      <c r="S864" s="37">
        <f t="shared" si="139"/>
        <v>1.4393326938302626</v>
      </c>
      <c r="T864" s="37">
        <f t="shared" si="140"/>
        <v>2.6288531679158988</v>
      </c>
      <c r="U864" s="42">
        <f t="shared" si="141"/>
        <v>2.8432327780980096</v>
      </c>
      <c r="V864" s="41">
        <f t="shared" si="142"/>
        <v>2.3386108098467631</v>
      </c>
      <c r="W864" s="43">
        <f t="shared" si="143"/>
        <v>-0.3979400086720376</v>
      </c>
      <c r="X864" s="43" t="e">
        <f t="shared" si="144"/>
        <v>#NUM!</v>
      </c>
    </row>
    <row r="865" spans="1:24" ht="15" customHeight="1">
      <c r="A865" s="50"/>
      <c r="B865" s="8">
        <v>7.2</v>
      </c>
      <c r="C865" s="8">
        <f t="shared" si="122"/>
        <v>3.6</v>
      </c>
      <c r="D865" s="16" t="s">
        <v>25</v>
      </c>
      <c r="E865" s="12" t="s">
        <v>107</v>
      </c>
      <c r="F865" s="17" t="s">
        <v>34</v>
      </c>
      <c r="G865" s="17" t="s">
        <v>37</v>
      </c>
      <c r="H865" s="17" t="s">
        <v>29</v>
      </c>
      <c r="I865" s="17" t="s">
        <v>36</v>
      </c>
      <c r="J865" s="8">
        <v>2.75</v>
      </c>
      <c r="K865" s="8">
        <v>5.7</v>
      </c>
      <c r="L865" s="8">
        <f t="shared" si="138"/>
        <v>107.27272727272728</v>
      </c>
      <c r="M865" s="9">
        <v>69.7</v>
      </c>
      <c r="N865" s="9">
        <v>97.6</v>
      </c>
      <c r="O865" s="10">
        <f t="shared" si="147"/>
        <v>40.028694404591093</v>
      </c>
      <c r="P865" s="11">
        <v>0.04</v>
      </c>
      <c r="Q865" s="11">
        <v>2.5999999999999999E-2</v>
      </c>
      <c r="R865" s="33">
        <f t="shared" si="131"/>
        <v>-35</v>
      </c>
      <c r="S865" s="37">
        <f t="shared" si="139"/>
        <v>1.4393326938302626</v>
      </c>
      <c r="T865" s="37">
        <f t="shared" si="140"/>
        <v>3.0304893221479006</v>
      </c>
      <c r="U865" s="42">
        <f t="shared" si="141"/>
        <v>2.8432327780980096</v>
      </c>
      <c r="V865" s="41">
        <f t="shared" si="142"/>
        <v>2.6023714251755878</v>
      </c>
      <c r="W865" s="43">
        <f t="shared" si="143"/>
        <v>-0.3979400086720376</v>
      </c>
      <c r="X865" s="43" t="e">
        <f t="shared" si="144"/>
        <v>#NUM!</v>
      </c>
    </row>
    <row r="866" spans="1:24" ht="15" customHeight="1">
      <c r="A866" s="45" t="s">
        <v>284</v>
      </c>
      <c r="B866" s="8">
        <v>2.4</v>
      </c>
      <c r="C866" s="8">
        <f t="shared" si="122"/>
        <v>1.2</v>
      </c>
      <c r="D866" s="16" t="s">
        <v>25</v>
      </c>
      <c r="E866" s="12" t="s">
        <v>107</v>
      </c>
      <c r="F866" s="17" t="s">
        <v>112</v>
      </c>
      <c r="G866" s="17" t="s">
        <v>37</v>
      </c>
      <c r="H866" s="17" t="s">
        <v>29</v>
      </c>
      <c r="I866" s="17" t="s">
        <v>36</v>
      </c>
      <c r="J866" s="8">
        <v>2.9</v>
      </c>
      <c r="K866" s="8">
        <v>3.2</v>
      </c>
      <c r="L866" s="8">
        <f t="shared" si="138"/>
        <v>10.344827586206906</v>
      </c>
      <c r="M866" s="9">
        <v>88.9</v>
      </c>
      <c r="N866" s="9">
        <v>94.3</v>
      </c>
      <c r="O866" s="10">
        <f t="shared" si="147"/>
        <v>6.0742407199100015</v>
      </c>
      <c r="P866" s="11">
        <v>1.54</v>
      </c>
      <c r="Q866" s="11">
        <v>1.0900000000000001</v>
      </c>
      <c r="R866" s="33">
        <f t="shared" si="131"/>
        <v>-29.220779220779221</v>
      </c>
      <c r="S866" s="37">
        <f t="shared" si="139"/>
        <v>1.4623979978989561</v>
      </c>
      <c r="T866" s="37">
        <f t="shared" si="140"/>
        <v>2.0147232568207065</v>
      </c>
      <c r="U866" s="42">
        <f t="shared" si="141"/>
        <v>2.9489017609702137</v>
      </c>
      <c r="V866" s="41">
        <f t="shared" si="142"/>
        <v>1.7834919988527542</v>
      </c>
      <c r="W866" s="43">
        <f t="shared" si="143"/>
        <v>1.1875207208364631</v>
      </c>
      <c r="X866" s="43" t="e">
        <f t="shared" si="144"/>
        <v>#NUM!</v>
      </c>
    </row>
    <row r="867" spans="1:24" ht="15" customHeight="1">
      <c r="A867" s="49"/>
      <c r="B867" s="8">
        <v>3</v>
      </c>
      <c r="C867" s="8">
        <f t="shared" si="122"/>
        <v>1.5</v>
      </c>
      <c r="D867" s="16" t="s">
        <v>25</v>
      </c>
      <c r="E867" s="12" t="s">
        <v>107</v>
      </c>
      <c r="F867" s="17" t="s">
        <v>34</v>
      </c>
      <c r="G867" s="17" t="s">
        <v>28</v>
      </c>
      <c r="H867" s="17" t="s">
        <v>29</v>
      </c>
      <c r="I867" s="17" t="s">
        <v>36</v>
      </c>
      <c r="J867" s="8">
        <v>2.9</v>
      </c>
      <c r="K867" s="8">
        <v>3.5</v>
      </c>
      <c r="L867" s="8">
        <f t="shared" si="138"/>
        <v>20.689655172413797</v>
      </c>
      <c r="M867" s="9">
        <v>88.9</v>
      </c>
      <c r="N867" s="9">
        <v>93.7</v>
      </c>
      <c r="O867" s="10">
        <f t="shared" si="147"/>
        <v>5.3993250843644507</v>
      </c>
      <c r="P867" s="11">
        <v>1.54</v>
      </c>
      <c r="Q867" s="11">
        <v>0.48</v>
      </c>
      <c r="R867" s="33">
        <f t="shared" si="131"/>
        <v>-68.831168831168839</v>
      </c>
      <c r="S867" s="37">
        <f t="shared" si="139"/>
        <v>1.4623979978989561</v>
      </c>
      <c r="T867" s="37">
        <f t="shared" si="140"/>
        <v>2.3157532524846878</v>
      </c>
      <c r="U867" s="42">
        <f t="shared" si="141"/>
        <v>2.9489017609702137</v>
      </c>
      <c r="V867" s="41">
        <f t="shared" si="142"/>
        <v>1.7323394764053732</v>
      </c>
      <c r="W867" s="43">
        <f t="shared" si="143"/>
        <v>1.1875207208364631</v>
      </c>
      <c r="X867" s="43" t="e">
        <f t="shared" si="144"/>
        <v>#NUM!</v>
      </c>
    </row>
    <row r="868" spans="1:24" ht="15" customHeight="1">
      <c r="A868" s="49"/>
      <c r="B868" s="8">
        <v>2.9</v>
      </c>
      <c r="C868" s="8">
        <f t="shared" si="122"/>
        <v>1.45</v>
      </c>
      <c r="D868" s="16" t="s">
        <v>25</v>
      </c>
      <c r="E868" s="12" t="s">
        <v>107</v>
      </c>
      <c r="F868" s="17" t="s">
        <v>34</v>
      </c>
      <c r="G868" s="17" t="s">
        <v>28</v>
      </c>
      <c r="H868" s="17" t="s">
        <v>29</v>
      </c>
      <c r="I868" s="17" t="s">
        <v>36</v>
      </c>
      <c r="J868" s="8">
        <v>2.9</v>
      </c>
      <c r="K868" s="8">
        <v>3.6</v>
      </c>
      <c r="L868" s="8">
        <f t="shared" si="138"/>
        <v>24.137931034482765</v>
      </c>
      <c r="M868" s="9">
        <v>88.9</v>
      </c>
      <c r="N868" s="9">
        <v>95.5</v>
      </c>
      <c r="O868" s="10">
        <f t="shared" si="147"/>
        <v>7.4240719910011173</v>
      </c>
      <c r="P868" s="11">
        <v>1.54</v>
      </c>
      <c r="Q868" s="11">
        <v>1.31</v>
      </c>
      <c r="R868" s="33">
        <f t="shared" si="131"/>
        <v>-14.935064935064934</v>
      </c>
      <c r="S868" s="37">
        <f t="shared" si="139"/>
        <v>1.4623979978989561</v>
      </c>
      <c r="T868" s="37">
        <f t="shared" si="140"/>
        <v>2.3827000421153008</v>
      </c>
      <c r="U868" s="42">
        <f t="shared" si="141"/>
        <v>2.9489017609702137</v>
      </c>
      <c r="V868" s="41">
        <f t="shared" si="142"/>
        <v>1.8706421745716544</v>
      </c>
      <c r="W868" s="43">
        <f t="shared" si="143"/>
        <v>1.1875207208364631</v>
      </c>
      <c r="X868" s="43" t="e">
        <f t="shared" si="144"/>
        <v>#NUM!</v>
      </c>
    </row>
    <row r="869" spans="1:24" ht="15" customHeight="1">
      <c r="A869" s="49"/>
      <c r="B869" s="8">
        <v>5.4</v>
      </c>
      <c r="C869" s="8">
        <f t="shared" si="122"/>
        <v>2.7</v>
      </c>
      <c r="D869" s="16" t="s">
        <v>25</v>
      </c>
      <c r="E869" s="12" t="s">
        <v>107</v>
      </c>
      <c r="F869" s="17" t="s">
        <v>34</v>
      </c>
      <c r="G869" s="17" t="s">
        <v>28</v>
      </c>
      <c r="H869" s="17" t="s">
        <v>29</v>
      </c>
      <c r="I869" s="17" t="s">
        <v>36</v>
      </c>
      <c r="J869" s="8">
        <v>2.9</v>
      </c>
      <c r="K869" s="8">
        <v>4.0999999999999996</v>
      </c>
      <c r="L869" s="8">
        <f t="shared" si="138"/>
        <v>41.37931034482758</v>
      </c>
      <c r="M869" s="9">
        <v>88.9</v>
      </c>
      <c r="N869" s="9">
        <v>102.2</v>
      </c>
      <c r="O869" s="10">
        <f t="shared" si="147"/>
        <v>14.960629921259837</v>
      </c>
      <c r="P869" s="11">
        <v>1.54</v>
      </c>
      <c r="Q869" s="11">
        <v>0.4</v>
      </c>
      <c r="R869" s="33">
        <f t="shared" si="131"/>
        <v>-74.025974025974023</v>
      </c>
      <c r="S869" s="37">
        <f t="shared" si="139"/>
        <v>1.4623979978989561</v>
      </c>
      <c r="T869" s="37">
        <f t="shared" si="140"/>
        <v>2.6167832481486686</v>
      </c>
      <c r="U869" s="42">
        <f t="shared" si="141"/>
        <v>2.9489017609702137</v>
      </c>
      <c r="V869" s="41">
        <f t="shared" si="142"/>
        <v>2.1749498799968721</v>
      </c>
      <c r="W869" s="43">
        <f t="shared" si="143"/>
        <v>1.1875207208364631</v>
      </c>
      <c r="X869" s="43" t="e">
        <f t="shared" si="144"/>
        <v>#NUM!</v>
      </c>
    </row>
    <row r="870" spans="1:24" ht="15" customHeight="1">
      <c r="A870" s="50"/>
      <c r="B870" s="8">
        <v>11.1</v>
      </c>
      <c r="C870" s="8">
        <f t="shared" si="122"/>
        <v>5.55</v>
      </c>
      <c r="D870" s="16" t="s">
        <v>25</v>
      </c>
      <c r="E870" s="12" t="s">
        <v>107</v>
      </c>
      <c r="F870" s="17" t="s">
        <v>34</v>
      </c>
      <c r="G870" s="17" t="s">
        <v>214</v>
      </c>
      <c r="H870" s="17" t="s">
        <v>29</v>
      </c>
      <c r="I870" s="17" t="s">
        <v>36</v>
      </c>
      <c r="J870" s="8">
        <v>2.9</v>
      </c>
      <c r="K870" s="8">
        <v>5.3</v>
      </c>
      <c r="L870" s="8">
        <f t="shared" si="138"/>
        <v>82.758620689655174</v>
      </c>
      <c r="M870" s="9">
        <v>88.9</v>
      </c>
      <c r="N870" s="9">
        <v>97.9</v>
      </c>
      <c r="O870" s="10">
        <f t="shared" si="147"/>
        <v>10.123734533183351</v>
      </c>
      <c r="P870" s="11">
        <v>1.54</v>
      </c>
      <c r="Q870" s="11">
        <v>0.03</v>
      </c>
      <c r="R870" s="33">
        <f t="shared" si="131"/>
        <v>-98.051948051948045</v>
      </c>
      <c r="S870" s="37">
        <f t="shared" si="139"/>
        <v>1.4623979978989561</v>
      </c>
      <c r="T870" s="37">
        <f t="shared" si="140"/>
        <v>2.9178132438126498</v>
      </c>
      <c r="U870" s="42">
        <f t="shared" si="141"/>
        <v>2.9489017609702137</v>
      </c>
      <c r="V870" s="41">
        <f t="shared" si="142"/>
        <v>2.005340748469111</v>
      </c>
      <c r="W870" s="43">
        <f t="shared" si="143"/>
        <v>1.1875207208364631</v>
      </c>
      <c r="X870" s="43" t="e">
        <f t="shared" si="144"/>
        <v>#NUM!</v>
      </c>
    </row>
    <row r="871" spans="1:24" ht="15" customHeight="1">
      <c r="A871" s="45" t="s">
        <v>285</v>
      </c>
      <c r="B871" s="8">
        <v>1</v>
      </c>
      <c r="C871" s="8">
        <f t="shared" si="122"/>
        <v>0.5</v>
      </c>
      <c r="D871" s="16" t="s">
        <v>42</v>
      </c>
      <c r="E871" s="12" t="s">
        <v>148</v>
      </c>
      <c r="F871" s="17" t="s">
        <v>34</v>
      </c>
      <c r="G871" s="17" t="s">
        <v>35</v>
      </c>
      <c r="H871" s="17" t="s">
        <v>29</v>
      </c>
      <c r="I871" s="17" t="s">
        <v>36</v>
      </c>
      <c r="J871" s="8">
        <v>2.54</v>
      </c>
      <c r="K871" s="8">
        <v>2.7</v>
      </c>
      <c r="L871" s="8">
        <f t="shared" si="138"/>
        <v>6.2992125984252025</v>
      </c>
      <c r="M871" s="9">
        <v>85</v>
      </c>
      <c r="N871" s="9">
        <v>90</v>
      </c>
      <c r="O871" s="10">
        <f t="shared" si="147"/>
        <v>5.8823529411764701</v>
      </c>
      <c r="P871" s="11">
        <v>6.0199999999999997E-2</v>
      </c>
      <c r="Q871" s="11">
        <v>5.1799999999999999E-2</v>
      </c>
      <c r="R871" s="33">
        <f t="shared" si="131"/>
        <v>-13.95348837209302</v>
      </c>
      <c r="S871" s="37">
        <f t="shared" si="139"/>
        <v>1.4048337166199381</v>
      </c>
      <c r="T871" s="37">
        <f t="shared" si="140"/>
        <v>1.7992862660359872</v>
      </c>
      <c r="U871" s="42">
        <f t="shared" si="141"/>
        <v>2.9294189257142929</v>
      </c>
      <c r="V871" s="41">
        <f t="shared" si="142"/>
        <v>1.7695510786217261</v>
      </c>
      <c r="W871" s="43">
        <f t="shared" si="143"/>
        <v>-0.22040350874217546</v>
      </c>
      <c r="X871" s="43" t="e">
        <f t="shared" si="144"/>
        <v>#NUM!</v>
      </c>
    </row>
    <row r="872" spans="1:24" ht="15" customHeight="1">
      <c r="A872" s="49"/>
      <c r="B872" s="8">
        <v>2</v>
      </c>
      <c r="C872" s="8">
        <f t="shared" si="122"/>
        <v>1</v>
      </c>
      <c r="D872" s="16" t="s">
        <v>42</v>
      </c>
      <c r="E872" s="12" t="s">
        <v>148</v>
      </c>
      <c r="F872" s="17" t="s">
        <v>34</v>
      </c>
      <c r="G872" s="17" t="s">
        <v>35</v>
      </c>
      <c r="H872" s="17" t="s">
        <v>29</v>
      </c>
      <c r="I872" s="17" t="s">
        <v>36</v>
      </c>
      <c r="J872" s="8">
        <v>2.54</v>
      </c>
      <c r="K872" s="8">
        <v>2.8</v>
      </c>
      <c r="L872" s="8">
        <f t="shared" si="138"/>
        <v>10.236220472440936</v>
      </c>
      <c r="M872" s="9">
        <v>85</v>
      </c>
      <c r="N872" s="9">
        <v>78</v>
      </c>
      <c r="O872" s="10">
        <f t="shared" si="147"/>
        <v>-8.235294117647058</v>
      </c>
      <c r="P872" s="11">
        <v>6.0199999999999997E-2</v>
      </c>
      <c r="Q872" s="11">
        <v>4.4999999999999998E-2</v>
      </c>
      <c r="R872" s="33">
        <f t="shared" si="131"/>
        <v>-25.249169435215947</v>
      </c>
      <c r="S872" s="37">
        <f t="shared" si="139"/>
        <v>1.4048337166199381</v>
      </c>
      <c r="T872" s="37">
        <f t="shared" si="140"/>
        <v>2.0101396313508797</v>
      </c>
      <c r="U872" s="42">
        <f t="shared" si="141"/>
        <v>2.9294189257142929</v>
      </c>
      <c r="V872" s="41" t="e">
        <f t="shared" si="142"/>
        <v>#NUM!</v>
      </c>
      <c r="W872" s="43">
        <f t="shared" si="143"/>
        <v>-0.22040350874217546</v>
      </c>
      <c r="X872" s="43" t="e">
        <f t="shared" si="144"/>
        <v>#NUM!</v>
      </c>
    </row>
    <row r="873" spans="1:24" ht="15" customHeight="1">
      <c r="A873" s="49"/>
      <c r="B873" s="8">
        <v>3.5</v>
      </c>
      <c r="C873" s="8">
        <f t="shared" si="122"/>
        <v>1.75</v>
      </c>
      <c r="D873" s="16" t="s">
        <v>42</v>
      </c>
      <c r="E873" s="12" t="s">
        <v>148</v>
      </c>
      <c r="F873" s="17" t="s">
        <v>34</v>
      </c>
      <c r="G873" s="17" t="s">
        <v>35</v>
      </c>
      <c r="H873" s="17" t="s">
        <v>29</v>
      </c>
      <c r="I873" s="17" t="s">
        <v>36</v>
      </c>
      <c r="J873" s="8">
        <v>2.54</v>
      </c>
      <c r="K873" s="8">
        <v>3.14</v>
      </c>
      <c r="L873" s="8">
        <f t="shared" si="138"/>
        <v>23.622047244094489</v>
      </c>
      <c r="M873" s="9">
        <v>85</v>
      </c>
      <c r="N873" s="9">
        <v>70</v>
      </c>
      <c r="O873" s="10">
        <f t="shared" si="147"/>
        <v>-17.647058823529413</v>
      </c>
      <c r="P873" s="11">
        <v>6.0199999999999997E-2</v>
      </c>
      <c r="Q873" s="11">
        <v>2.5000000000000001E-2</v>
      </c>
      <c r="R873" s="33">
        <f t="shared" si="131"/>
        <v>-58.471760797342185</v>
      </c>
      <c r="S873" s="37">
        <f t="shared" si="139"/>
        <v>1.4048337166199381</v>
      </c>
      <c r="T873" s="37">
        <f t="shared" si="140"/>
        <v>2.3733175337637058</v>
      </c>
      <c r="U873" s="42">
        <f t="shared" si="141"/>
        <v>2.9294189257142929</v>
      </c>
      <c r="V873" s="41" t="e">
        <f t="shared" si="142"/>
        <v>#NUM!</v>
      </c>
      <c r="W873" s="43">
        <f t="shared" si="143"/>
        <v>-0.22040350874217546</v>
      </c>
      <c r="X873" s="43" t="e">
        <f t="shared" si="144"/>
        <v>#NUM!</v>
      </c>
    </row>
    <row r="874" spans="1:24" ht="15" customHeight="1">
      <c r="A874" s="49"/>
      <c r="B874" s="8">
        <v>5</v>
      </c>
      <c r="C874" s="8">
        <f t="shared" si="122"/>
        <v>2.5</v>
      </c>
      <c r="D874" s="16" t="s">
        <v>42</v>
      </c>
      <c r="E874" s="12" t="s">
        <v>148</v>
      </c>
      <c r="F874" s="17" t="s">
        <v>34</v>
      </c>
      <c r="G874" s="17" t="s">
        <v>35</v>
      </c>
      <c r="H874" s="17" t="s">
        <v>29</v>
      </c>
      <c r="I874" s="17" t="s">
        <v>36</v>
      </c>
      <c r="J874" s="8">
        <v>2.54</v>
      </c>
      <c r="K874" s="8">
        <v>3.7</v>
      </c>
      <c r="L874" s="8">
        <f t="shared" si="138"/>
        <v>45.669291338582681</v>
      </c>
      <c r="M874" s="9">
        <v>85</v>
      </c>
      <c r="N874" s="9">
        <v>61</v>
      </c>
      <c r="O874" s="10">
        <f t="shared" si="147"/>
        <v>-28.235294117647058</v>
      </c>
      <c r="P874" s="11">
        <v>6.0199999999999997E-2</v>
      </c>
      <c r="Q874" s="11">
        <v>0.02</v>
      </c>
      <c r="R874" s="33">
        <f t="shared" si="131"/>
        <v>-66.777408637873762</v>
      </c>
      <c r="S874" s="37">
        <f t="shared" si="139"/>
        <v>1.4048337166199381</v>
      </c>
      <c r="T874" s="37">
        <f t="shared" si="140"/>
        <v>2.6596242726069805</v>
      </c>
      <c r="U874" s="42">
        <f t="shared" si="141"/>
        <v>2.9294189257142929</v>
      </c>
      <c r="V874" s="41" t="e">
        <f t="shared" si="142"/>
        <v>#NUM!</v>
      </c>
      <c r="W874" s="43">
        <f t="shared" si="143"/>
        <v>-0.22040350874217546</v>
      </c>
      <c r="X874" s="43" t="e">
        <f t="shared" si="144"/>
        <v>#NUM!</v>
      </c>
    </row>
    <row r="875" spans="1:24" ht="15" customHeight="1">
      <c r="A875" s="50"/>
      <c r="B875" s="8">
        <v>10</v>
      </c>
      <c r="C875" s="8">
        <f t="shared" si="122"/>
        <v>5</v>
      </c>
      <c r="D875" s="16" t="s">
        <v>42</v>
      </c>
      <c r="E875" s="12" t="s">
        <v>148</v>
      </c>
      <c r="F875" s="17" t="s">
        <v>34</v>
      </c>
      <c r="G875" s="17" t="s">
        <v>35</v>
      </c>
      <c r="H875" s="17" t="s">
        <v>29</v>
      </c>
      <c r="I875" s="17" t="s">
        <v>36</v>
      </c>
      <c r="J875" s="8">
        <v>2.54</v>
      </c>
      <c r="K875" s="8">
        <v>3.61</v>
      </c>
      <c r="L875" s="8">
        <f t="shared" si="138"/>
        <v>42.125984251968497</v>
      </c>
      <c r="M875" s="9">
        <v>85</v>
      </c>
      <c r="N875" s="9">
        <v>60</v>
      </c>
      <c r="O875" s="10">
        <f t="shared" si="147"/>
        <v>-29.411764705882355</v>
      </c>
      <c r="P875" s="11">
        <v>6.0199999999999997E-2</v>
      </c>
      <c r="Q875" s="11">
        <v>0.02</v>
      </c>
      <c r="R875" s="33">
        <f t="shared" si="131"/>
        <v>-66.777408637873762</v>
      </c>
      <c r="S875" s="37">
        <f t="shared" si="139"/>
        <v>1.4048337166199381</v>
      </c>
      <c r="T875" s="37">
        <f t="shared" si="140"/>
        <v>2.6245500610652717</v>
      </c>
      <c r="U875" s="42">
        <f t="shared" si="141"/>
        <v>2.9294189257142929</v>
      </c>
      <c r="V875" s="41" t="e">
        <f t="shared" si="142"/>
        <v>#NUM!</v>
      </c>
      <c r="W875" s="43">
        <f t="shared" si="143"/>
        <v>-0.22040350874217546</v>
      </c>
      <c r="X875" s="43" t="e">
        <f t="shared" si="144"/>
        <v>#NUM!</v>
      </c>
    </row>
    <row r="876" spans="1:24" ht="15" customHeight="1">
      <c r="A876" s="45" t="s">
        <v>286</v>
      </c>
      <c r="B876" s="8">
        <v>1</v>
      </c>
      <c r="C876" s="8">
        <f t="shared" si="122"/>
        <v>0.5</v>
      </c>
      <c r="D876" s="16" t="s">
        <v>42</v>
      </c>
      <c r="E876" s="12" t="s">
        <v>287</v>
      </c>
      <c r="F876" s="17" t="s">
        <v>34</v>
      </c>
      <c r="G876" s="17" t="s">
        <v>28</v>
      </c>
      <c r="H876" s="17" t="s">
        <v>29</v>
      </c>
      <c r="I876" s="17" t="s">
        <v>36</v>
      </c>
      <c r="J876" s="8">
        <v>2.2999999999999998</v>
      </c>
      <c r="K876" s="8">
        <v>2.5</v>
      </c>
      <c r="L876" s="8">
        <f t="shared" si="138"/>
        <v>8.6956521739130519</v>
      </c>
      <c r="M876" s="9">
        <v>30</v>
      </c>
      <c r="N876" s="9">
        <v>42</v>
      </c>
      <c r="O876" s="10">
        <f t="shared" si="147"/>
        <v>40</v>
      </c>
      <c r="P876" s="11">
        <v>1.4999999999999999E-2</v>
      </c>
      <c r="Q876" s="11">
        <v>2.5000000000000001E-2</v>
      </c>
      <c r="R876" s="33">
        <f t="shared" si="131"/>
        <v>66.666666666666686</v>
      </c>
      <c r="S876" s="37">
        <f t="shared" si="139"/>
        <v>1.3617278360175928</v>
      </c>
      <c r="T876" s="37">
        <f t="shared" si="140"/>
        <v>1.9393021596463889</v>
      </c>
      <c r="U876" s="42">
        <f t="shared" si="141"/>
        <v>2.4771212547196626</v>
      </c>
      <c r="V876" s="41">
        <f t="shared" si="142"/>
        <v>2.6020599913279625</v>
      </c>
      <c r="W876" s="43">
        <f t="shared" si="143"/>
        <v>-0.82390874094431876</v>
      </c>
      <c r="X876" s="43">
        <f t="shared" si="144"/>
        <v>2.8239087409443191</v>
      </c>
    </row>
    <row r="877" spans="1:24" ht="15" customHeight="1">
      <c r="A877" s="46"/>
      <c r="B877" s="8">
        <v>2</v>
      </c>
      <c r="C877" s="8">
        <f t="shared" si="122"/>
        <v>1</v>
      </c>
      <c r="D877" s="16" t="s">
        <v>42</v>
      </c>
      <c r="E877" s="12" t="s">
        <v>287</v>
      </c>
      <c r="F877" s="17" t="s">
        <v>34</v>
      </c>
      <c r="G877" s="17" t="s">
        <v>28</v>
      </c>
      <c r="H877" s="17" t="s">
        <v>29</v>
      </c>
      <c r="I877" s="17" t="s">
        <v>36</v>
      </c>
      <c r="J877" s="8">
        <v>2.2999999999999998</v>
      </c>
      <c r="K877" s="8">
        <v>2.8</v>
      </c>
      <c r="L877" s="8">
        <f t="shared" si="138"/>
        <v>21.739130434782609</v>
      </c>
      <c r="M877" s="9">
        <v>30</v>
      </c>
      <c r="N877" s="9">
        <v>48</v>
      </c>
      <c r="O877" s="10">
        <f t="shared" si="147"/>
        <v>60</v>
      </c>
      <c r="P877" s="11">
        <v>1.4999999999999999E-2</v>
      </c>
      <c r="Q877" s="11">
        <v>0.03</v>
      </c>
      <c r="R877" s="33">
        <f t="shared" si="131"/>
        <v>100</v>
      </c>
      <c r="S877" s="37">
        <f t="shared" ref="S877:S939" si="154">LOG10(J877*10)</f>
        <v>1.3617278360175928</v>
      </c>
      <c r="T877" s="37">
        <f t="shared" ref="T877:T928" si="155">LOG10(L877*10)</f>
        <v>2.3372421683184261</v>
      </c>
      <c r="U877" s="42">
        <f t="shared" si="141"/>
        <v>2.4771212547196626</v>
      </c>
      <c r="V877" s="41">
        <f t="shared" si="142"/>
        <v>2.7781512503836434</v>
      </c>
      <c r="W877" s="43">
        <f t="shared" si="143"/>
        <v>-0.82390874094431876</v>
      </c>
      <c r="X877" s="43">
        <f t="shared" si="144"/>
        <v>3</v>
      </c>
    </row>
    <row r="878" spans="1:24" ht="15" customHeight="1">
      <c r="A878" s="46"/>
      <c r="B878" s="8">
        <v>3</v>
      </c>
      <c r="C878" s="8">
        <f t="shared" si="122"/>
        <v>1.5</v>
      </c>
      <c r="D878" s="16" t="s">
        <v>42</v>
      </c>
      <c r="E878" s="12" t="s">
        <v>287</v>
      </c>
      <c r="F878" s="17" t="s">
        <v>34</v>
      </c>
      <c r="G878" s="17" t="s">
        <v>28</v>
      </c>
      <c r="H878" s="17" t="s">
        <v>29</v>
      </c>
      <c r="I878" s="17" t="s">
        <v>36</v>
      </c>
      <c r="J878" s="8">
        <v>2.2999999999999998</v>
      </c>
      <c r="K878" s="8">
        <v>3.2</v>
      </c>
      <c r="L878" s="8">
        <f t="shared" si="138"/>
        <v>39.130434782608717</v>
      </c>
      <c r="M878" s="9">
        <v>30</v>
      </c>
      <c r="N878" s="9">
        <v>52</v>
      </c>
      <c r="O878" s="10">
        <f t="shared" si="147"/>
        <v>73.333333333333329</v>
      </c>
      <c r="P878" s="11">
        <v>1.4999999999999999E-2</v>
      </c>
      <c r="Q878" s="11">
        <v>3.5000000000000003E-2</v>
      </c>
      <c r="R878" s="33">
        <f t="shared" si="131"/>
        <v>133.33333333333337</v>
      </c>
      <c r="S878" s="37">
        <f t="shared" si="154"/>
        <v>1.3617278360175928</v>
      </c>
      <c r="T878" s="37">
        <f t="shared" si="155"/>
        <v>2.5925146734217321</v>
      </c>
      <c r="U878" s="42">
        <f t="shared" si="141"/>
        <v>2.4771212547196626</v>
      </c>
      <c r="V878" s="41">
        <f t="shared" si="142"/>
        <v>2.8653014261025436</v>
      </c>
      <c r="W878" s="43">
        <f t="shared" si="143"/>
        <v>-0.82390874094431876</v>
      </c>
      <c r="X878" s="43">
        <f t="shared" si="144"/>
        <v>3.1249387366082999</v>
      </c>
    </row>
    <row r="879" spans="1:24" ht="15" customHeight="1">
      <c r="A879" s="46"/>
      <c r="B879" s="8">
        <v>4</v>
      </c>
      <c r="C879" s="8">
        <f t="shared" si="122"/>
        <v>2</v>
      </c>
      <c r="D879" s="16" t="s">
        <v>42</v>
      </c>
      <c r="E879" s="12" t="s">
        <v>287</v>
      </c>
      <c r="F879" s="17" t="s">
        <v>34</v>
      </c>
      <c r="G879" s="17" t="s">
        <v>227</v>
      </c>
      <c r="H879" s="17" t="s">
        <v>29</v>
      </c>
      <c r="I879" s="17" t="s">
        <v>36</v>
      </c>
      <c r="J879" s="8">
        <v>2.2999999999999998</v>
      </c>
      <c r="K879" s="8">
        <v>3</v>
      </c>
      <c r="L879" s="8">
        <f t="shared" si="138"/>
        <v>30.434782608695659</v>
      </c>
      <c r="M879" s="9">
        <v>30</v>
      </c>
      <c r="N879" s="9">
        <v>46</v>
      </c>
      <c r="O879" s="10">
        <f t="shared" si="147"/>
        <v>53.333333333333336</v>
      </c>
      <c r="P879" s="11">
        <v>1.4999999999999999E-2</v>
      </c>
      <c r="Q879" s="11">
        <v>0.03</v>
      </c>
      <c r="R879" s="33">
        <f t="shared" si="131"/>
        <v>100</v>
      </c>
      <c r="S879" s="37">
        <f>LOG10(J879*10)</f>
        <v>1.3617278360175928</v>
      </c>
      <c r="T879" s="37">
        <f t="shared" si="155"/>
        <v>2.4833702039966643</v>
      </c>
      <c r="U879" s="42">
        <f t="shared" si="141"/>
        <v>2.4771212547196626</v>
      </c>
      <c r="V879" s="41">
        <f t="shared" si="142"/>
        <v>2.7269987279362624</v>
      </c>
      <c r="W879" s="43">
        <f t="shared" si="143"/>
        <v>-0.82390874094431876</v>
      </c>
      <c r="X879" s="43">
        <f t="shared" si="144"/>
        <v>3</v>
      </c>
    </row>
    <row r="880" spans="1:24" ht="15" customHeight="1">
      <c r="A880" s="47"/>
      <c r="B880" s="8">
        <v>5</v>
      </c>
      <c r="C880" s="8">
        <f t="shared" si="122"/>
        <v>2.5</v>
      </c>
      <c r="D880" s="16" t="s">
        <v>42</v>
      </c>
      <c r="E880" s="12" t="s">
        <v>287</v>
      </c>
      <c r="F880" s="17" t="s">
        <v>34</v>
      </c>
      <c r="G880" s="17" t="s">
        <v>227</v>
      </c>
      <c r="H880" s="17" t="s">
        <v>29</v>
      </c>
      <c r="I880" s="17" t="s">
        <v>36</v>
      </c>
      <c r="J880" s="8">
        <v>2.2999999999999998</v>
      </c>
      <c r="K880" s="8">
        <v>2.8</v>
      </c>
      <c r="L880" s="8">
        <f t="shared" si="138"/>
        <v>21.739130434782609</v>
      </c>
      <c r="M880" s="9">
        <v>30</v>
      </c>
      <c r="N880" s="9">
        <v>38</v>
      </c>
      <c r="O880" s="10">
        <f t="shared" si="147"/>
        <v>26.666666666666668</v>
      </c>
      <c r="P880" s="11">
        <v>1.4999999999999999E-2</v>
      </c>
      <c r="Q880" s="11">
        <v>2.5000000000000001E-2</v>
      </c>
      <c r="R880" s="33">
        <f t="shared" si="131"/>
        <v>66.666666666666686</v>
      </c>
      <c r="S880" s="37">
        <f>LOG10(J880*10)</f>
        <v>1.3617278360175928</v>
      </c>
      <c r="T880" s="37">
        <f t="shared" si="155"/>
        <v>2.3372421683184261</v>
      </c>
      <c r="U880" s="42">
        <f t="shared" si="141"/>
        <v>2.4771212547196626</v>
      </c>
      <c r="V880" s="41">
        <f t="shared" si="142"/>
        <v>2.4259687322722812</v>
      </c>
      <c r="W880" s="43">
        <f t="shared" si="143"/>
        <v>-0.82390874094431876</v>
      </c>
      <c r="X880" s="43">
        <f t="shared" si="144"/>
        <v>2.8239087409443191</v>
      </c>
    </row>
    <row r="881" spans="1:24" ht="15" customHeight="1">
      <c r="A881" s="45" t="s">
        <v>288</v>
      </c>
      <c r="B881" s="8">
        <v>1</v>
      </c>
      <c r="C881" s="8">
        <f t="shared" si="122"/>
        <v>0.5</v>
      </c>
      <c r="D881" s="16" t="s">
        <v>42</v>
      </c>
      <c r="E881" s="12" t="s">
        <v>43</v>
      </c>
      <c r="F881" s="17" t="s">
        <v>34</v>
      </c>
      <c r="G881" s="17" t="s">
        <v>28</v>
      </c>
      <c r="H881" s="17" t="s">
        <v>29</v>
      </c>
      <c r="I881" s="17" t="s">
        <v>161</v>
      </c>
      <c r="J881" s="8">
        <v>1.6</v>
      </c>
      <c r="K881" s="8">
        <v>2</v>
      </c>
      <c r="L881" s="8">
        <f t="shared" si="138"/>
        <v>24.999999999999993</v>
      </c>
      <c r="M881" s="9" t="s">
        <v>31</v>
      </c>
      <c r="N881" s="9" t="s">
        <v>31</v>
      </c>
      <c r="O881" s="10" t="e">
        <f t="shared" si="147"/>
        <v>#VALUE!</v>
      </c>
      <c r="P881" s="11" t="s">
        <v>31</v>
      </c>
      <c r="Q881" s="11" t="s">
        <v>31</v>
      </c>
      <c r="R881" s="33" t="e">
        <f t="shared" si="131"/>
        <v>#VALUE!</v>
      </c>
      <c r="S881" s="37">
        <f t="shared" si="154"/>
        <v>1.2041199826559248</v>
      </c>
      <c r="T881" s="37">
        <f t="shared" si="155"/>
        <v>2.3979400086720375</v>
      </c>
      <c r="U881" s="42" t="e">
        <f t="shared" si="141"/>
        <v>#VALUE!</v>
      </c>
      <c r="V881" s="41" t="e">
        <f t="shared" si="142"/>
        <v>#VALUE!</v>
      </c>
      <c r="W881" s="43" t="e">
        <f t="shared" si="143"/>
        <v>#VALUE!</v>
      </c>
      <c r="X881" s="43" t="e">
        <f t="shared" si="144"/>
        <v>#VALUE!</v>
      </c>
    </row>
    <row r="882" spans="1:24" ht="15" customHeight="1">
      <c r="A882" s="46"/>
      <c r="B882" s="8">
        <v>2.5</v>
      </c>
      <c r="C882" s="8">
        <f t="shared" si="122"/>
        <v>1.25</v>
      </c>
      <c r="D882" s="16" t="s">
        <v>42</v>
      </c>
      <c r="E882" s="12" t="s">
        <v>43</v>
      </c>
      <c r="F882" s="17" t="s">
        <v>34</v>
      </c>
      <c r="G882" s="17" t="s">
        <v>28</v>
      </c>
      <c r="H882" s="17" t="s">
        <v>29</v>
      </c>
      <c r="I882" s="17" t="s">
        <v>161</v>
      </c>
      <c r="J882" s="8">
        <v>1.6</v>
      </c>
      <c r="K882" s="8">
        <v>2.2000000000000002</v>
      </c>
      <c r="L882" s="8">
        <f t="shared" si="138"/>
        <v>37.500000000000007</v>
      </c>
      <c r="M882" s="9" t="s">
        <v>31</v>
      </c>
      <c r="N882" s="9" t="s">
        <v>31</v>
      </c>
      <c r="O882" s="10" t="e">
        <f t="shared" si="147"/>
        <v>#VALUE!</v>
      </c>
      <c r="P882" s="11" t="s">
        <v>31</v>
      </c>
      <c r="Q882" s="11" t="s">
        <v>31</v>
      </c>
      <c r="R882" s="33" t="e">
        <f t="shared" ref="R882:R887" si="156">((Q882-P882)/P882)*100</f>
        <v>#VALUE!</v>
      </c>
      <c r="S882" s="37">
        <f t="shared" si="154"/>
        <v>1.2041199826559248</v>
      </c>
      <c r="T882" s="37">
        <f t="shared" si="155"/>
        <v>2.5740312677277188</v>
      </c>
      <c r="U882" s="42" t="e">
        <f t="shared" si="141"/>
        <v>#VALUE!</v>
      </c>
      <c r="V882" s="41" t="e">
        <f t="shared" si="142"/>
        <v>#VALUE!</v>
      </c>
      <c r="W882" s="43" t="e">
        <f t="shared" si="143"/>
        <v>#VALUE!</v>
      </c>
      <c r="X882" s="43" t="e">
        <f t="shared" si="144"/>
        <v>#VALUE!</v>
      </c>
    </row>
    <row r="883" spans="1:24" ht="15" customHeight="1">
      <c r="A883" s="46"/>
      <c r="B883" s="8">
        <v>3.5</v>
      </c>
      <c r="C883" s="8">
        <f t="shared" si="122"/>
        <v>1.75</v>
      </c>
      <c r="D883" s="16" t="s">
        <v>42</v>
      </c>
      <c r="E883" s="12" t="s">
        <v>43</v>
      </c>
      <c r="F883" s="17" t="s">
        <v>34</v>
      </c>
      <c r="G883" s="17" t="s">
        <v>214</v>
      </c>
      <c r="H883" s="17" t="s">
        <v>29</v>
      </c>
      <c r="I883" s="17" t="s">
        <v>161</v>
      </c>
      <c r="J883" s="8">
        <v>1.6</v>
      </c>
      <c r="K883" s="8">
        <v>2.2999999999999998</v>
      </c>
      <c r="L883" s="8">
        <f t="shared" si="138"/>
        <v>43.749999999999986</v>
      </c>
      <c r="M883" s="9" t="s">
        <v>31</v>
      </c>
      <c r="N883" s="9" t="s">
        <v>31</v>
      </c>
      <c r="O883" s="10" t="e">
        <f t="shared" si="147"/>
        <v>#VALUE!</v>
      </c>
      <c r="P883" s="11" t="s">
        <v>31</v>
      </c>
      <c r="Q883" s="11" t="s">
        <v>31</v>
      </c>
      <c r="R883" s="33" t="e">
        <f t="shared" si="156"/>
        <v>#VALUE!</v>
      </c>
      <c r="S883" s="37">
        <f t="shared" si="154"/>
        <v>1.2041199826559248</v>
      </c>
      <c r="T883" s="37">
        <f t="shared" si="155"/>
        <v>2.6409780573583319</v>
      </c>
      <c r="U883" s="42" t="e">
        <f t="shared" si="141"/>
        <v>#VALUE!</v>
      </c>
      <c r="V883" s="41" t="e">
        <f t="shared" si="142"/>
        <v>#VALUE!</v>
      </c>
      <c r="W883" s="43" t="e">
        <f t="shared" si="143"/>
        <v>#VALUE!</v>
      </c>
      <c r="X883" s="43" t="e">
        <f t="shared" si="144"/>
        <v>#VALUE!</v>
      </c>
    </row>
    <row r="884" spans="1:24" ht="15" customHeight="1">
      <c r="A884" s="46"/>
      <c r="B884" s="8">
        <v>5</v>
      </c>
      <c r="C884" s="8">
        <f t="shared" si="122"/>
        <v>2.5</v>
      </c>
      <c r="D884" s="16" t="s">
        <v>42</v>
      </c>
      <c r="E884" s="12" t="s">
        <v>43</v>
      </c>
      <c r="F884" s="17" t="s">
        <v>34</v>
      </c>
      <c r="G884" s="17" t="s">
        <v>214</v>
      </c>
      <c r="H884" s="17" t="s">
        <v>29</v>
      </c>
      <c r="I884" s="17" t="s">
        <v>161</v>
      </c>
      <c r="J884" s="8">
        <v>1.6</v>
      </c>
      <c r="K884" s="8">
        <v>2.4</v>
      </c>
      <c r="L884" s="8">
        <f t="shared" si="138"/>
        <v>49.999999999999986</v>
      </c>
      <c r="M884" s="9" t="s">
        <v>31</v>
      </c>
      <c r="N884" s="9" t="s">
        <v>31</v>
      </c>
      <c r="O884" s="10" t="e">
        <f t="shared" si="147"/>
        <v>#VALUE!</v>
      </c>
      <c r="P884" s="11" t="s">
        <v>31</v>
      </c>
      <c r="Q884" s="11" t="s">
        <v>31</v>
      </c>
      <c r="R884" s="33" t="e">
        <f t="shared" si="156"/>
        <v>#VALUE!</v>
      </c>
      <c r="S884" s="37">
        <f t="shared" si="154"/>
        <v>1.2041199826559248</v>
      </c>
      <c r="T884" s="37">
        <f t="shared" si="155"/>
        <v>2.6989700043360187</v>
      </c>
      <c r="U884" s="42" t="e">
        <f t="shared" si="141"/>
        <v>#VALUE!</v>
      </c>
      <c r="V884" s="41" t="e">
        <f t="shared" si="142"/>
        <v>#VALUE!</v>
      </c>
      <c r="W884" s="43" t="e">
        <f t="shared" si="143"/>
        <v>#VALUE!</v>
      </c>
      <c r="X884" s="43" t="e">
        <f t="shared" si="144"/>
        <v>#VALUE!</v>
      </c>
    </row>
    <row r="885" spans="1:24" ht="15" customHeight="1">
      <c r="A885" s="46"/>
      <c r="B885" s="8">
        <v>1</v>
      </c>
      <c r="C885" s="8">
        <f t="shared" si="122"/>
        <v>0.5</v>
      </c>
      <c r="D885" s="16" t="s">
        <v>42</v>
      </c>
      <c r="E885" s="12" t="s">
        <v>43</v>
      </c>
      <c r="F885" s="17" t="s">
        <v>34</v>
      </c>
      <c r="G885" s="17" t="s">
        <v>37</v>
      </c>
      <c r="H885" s="17" t="s">
        <v>29</v>
      </c>
      <c r="I885" s="17" t="s">
        <v>161</v>
      </c>
      <c r="J885" s="8">
        <v>1.6</v>
      </c>
      <c r="K885" s="8">
        <v>1.8</v>
      </c>
      <c r="L885" s="8">
        <f t="shared" si="138"/>
        <v>12.499999999999996</v>
      </c>
      <c r="M885" s="9" t="s">
        <v>31</v>
      </c>
      <c r="N885" s="9" t="s">
        <v>31</v>
      </c>
      <c r="O885" s="10" t="e">
        <f t="shared" si="147"/>
        <v>#VALUE!</v>
      </c>
      <c r="P885" s="11" t="s">
        <v>31</v>
      </c>
      <c r="Q885" s="11" t="s">
        <v>31</v>
      </c>
      <c r="R885" s="33" t="e">
        <f t="shared" si="156"/>
        <v>#VALUE!</v>
      </c>
      <c r="S885" s="37">
        <f t="shared" si="154"/>
        <v>1.2041199826559248</v>
      </c>
      <c r="T885" s="37">
        <f t="shared" si="155"/>
        <v>2.0969100130080562</v>
      </c>
      <c r="U885" s="42" t="e">
        <f t="shared" si="141"/>
        <v>#VALUE!</v>
      </c>
      <c r="V885" s="41" t="e">
        <f t="shared" si="142"/>
        <v>#VALUE!</v>
      </c>
      <c r="W885" s="43" t="e">
        <f t="shared" si="143"/>
        <v>#VALUE!</v>
      </c>
      <c r="X885" s="43" t="e">
        <f t="shared" si="144"/>
        <v>#VALUE!</v>
      </c>
    </row>
    <row r="886" spans="1:24" ht="15" customHeight="1">
      <c r="A886" s="46"/>
      <c r="B886" s="8">
        <v>2.5</v>
      </c>
      <c r="C886" s="8">
        <f t="shared" si="122"/>
        <v>1.25</v>
      </c>
      <c r="D886" s="16" t="s">
        <v>42</v>
      </c>
      <c r="E886" s="12" t="s">
        <v>43</v>
      </c>
      <c r="F886" s="17" t="s">
        <v>34</v>
      </c>
      <c r="G886" s="17" t="s">
        <v>37</v>
      </c>
      <c r="H886" s="17" t="s">
        <v>29</v>
      </c>
      <c r="I886" s="17" t="s">
        <v>161</v>
      </c>
      <c r="J886" s="8">
        <v>1.6</v>
      </c>
      <c r="K886" s="8">
        <v>2</v>
      </c>
      <c r="L886" s="8">
        <f t="shared" si="138"/>
        <v>24.999999999999993</v>
      </c>
      <c r="M886" s="9" t="s">
        <v>31</v>
      </c>
      <c r="N886" s="9" t="s">
        <v>31</v>
      </c>
      <c r="O886" s="10" t="e">
        <f t="shared" si="147"/>
        <v>#VALUE!</v>
      </c>
      <c r="P886" s="11" t="s">
        <v>31</v>
      </c>
      <c r="Q886" s="11" t="s">
        <v>31</v>
      </c>
      <c r="R886" s="33" t="e">
        <f t="shared" si="156"/>
        <v>#VALUE!</v>
      </c>
      <c r="S886" s="37">
        <f t="shared" si="154"/>
        <v>1.2041199826559248</v>
      </c>
      <c r="T886" s="37">
        <f t="shared" si="155"/>
        <v>2.3979400086720375</v>
      </c>
      <c r="U886" s="42" t="e">
        <f t="shared" ref="U886:U943" si="157">LOG10(M886*10)</f>
        <v>#VALUE!</v>
      </c>
      <c r="V886" s="41" t="e">
        <f t="shared" ref="V886:V943" si="158">LOG10(O886*10)</f>
        <v>#VALUE!</v>
      </c>
      <c r="W886" s="43" t="e">
        <f t="shared" ref="W886:W939" si="159">LOG10(P886*10)</f>
        <v>#VALUE!</v>
      </c>
      <c r="X886" s="43" t="e">
        <f t="shared" si="144"/>
        <v>#VALUE!</v>
      </c>
    </row>
    <row r="887" spans="1:24" ht="15" customHeight="1">
      <c r="A887" s="47"/>
      <c r="B887" s="8">
        <v>5</v>
      </c>
      <c r="C887" s="8">
        <f t="shared" si="122"/>
        <v>2.5</v>
      </c>
      <c r="D887" s="16" t="s">
        <v>42</v>
      </c>
      <c r="E887" s="12" t="s">
        <v>43</v>
      </c>
      <c r="F887" s="17" t="s">
        <v>34</v>
      </c>
      <c r="G887" s="17" t="s">
        <v>37</v>
      </c>
      <c r="H887" s="17" t="s">
        <v>29</v>
      </c>
      <c r="I887" s="17" t="s">
        <v>161</v>
      </c>
      <c r="J887" s="8">
        <v>1.6</v>
      </c>
      <c r="K887" s="8">
        <v>2.2000000000000002</v>
      </c>
      <c r="L887" s="8">
        <f t="shared" si="138"/>
        <v>37.500000000000007</v>
      </c>
      <c r="M887" s="9" t="s">
        <v>31</v>
      </c>
      <c r="N887" s="9" t="s">
        <v>31</v>
      </c>
      <c r="O887" s="10" t="e">
        <f t="shared" si="147"/>
        <v>#VALUE!</v>
      </c>
      <c r="P887" s="11" t="s">
        <v>31</v>
      </c>
      <c r="Q887" s="11" t="s">
        <v>31</v>
      </c>
      <c r="R887" s="33" t="e">
        <f t="shared" si="156"/>
        <v>#VALUE!</v>
      </c>
      <c r="S887" s="37">
        <f t="shared" si="154"/>
        <v>1.2041199826559248</v>
      </c>
      <c r="T887" s="37">
        <f t="shared" si="155"/>
        <v>2.5740312677277188</v>
      </c>
      <c r="U887" s="42" t="e">
        <f t="shared" si="157"/>
        <v>#VALUE!</v>
      </c>
      <c r="V887" s="41" t="e">
        <f t="shared" si="158"/>
        <v>#VALUE!</v>
      </c>
      <c r="W887" s="43" t="e">
        <f t="shared" si="159"/>
        <v>#VALUE!</v>
      </c>
      <c r="X887" s="43" t="e">
        <f t="shared" ref="X887:X942" si="160">LOG10(R887*10)</f>
        <v>#VALUE!</v>
      </c>
    </row>
    <row r="888" spans="1:24" ht="15" customHeight="1">
      <c r="A888" s="45" t="s">
        <v>289</v>
      </c>
      <c r="B888" s="8">
        <v>3</v>
      </c>
      <c r="C888" s="8">
        <f t="shared" si="122"/>
        <v>1.5</v>
      </c>
      <c r="D888" s="16" t="s">
        <v>42</v>
      </c>
      <c r="E888" s="12" t="s">
        <v>129</v>
      </c>
      <c r="F888" s="17" t="s">
        <v>34</v>
      </c>
      <c r="G888" s="17" t="s">
        <v>28</v>
      </c>
      <c r="H888" s="17" t="s">
        <v>29</v>
      </c>
      <c r="I888" s="17" t="s">
        <v>36</v>
      </c>
      <c r="J888" s="8">
        <v>2.87</v>
      </c>
      <c r="K888" s="8">
        <v>3.23</v>
      </c>
      <c r="L888" s="8">
        <f t="shared" si="138"/>
        <v>12.543554006968636</v>
      </c>
      <c r="M888" s="9">
        <v>59</v>
      </c>
      <c r="N888" s="9">
        <v>57</v>
      </c>
      <c r="O888" s="10">
        <f t="shared" si="147"/>
        <v>-3.3898305084745761</v>
      </c>
      <c r="P888" s="11" t="s">
        <v>31</v>
      </c>
      <c r="Q888" s="11" t="s">
        <v>31</v>
      </c>
      <c r="R888" s="33" t="e">
        <f t="shared" ref="R888:R943" si="161">((Q888-P888)/P888)*100</f>
        <v>#VALUE!</v>
      </c>
      <c r="S888" s="37">
        <f t="shared" si="154"/>
        <v>1.4578818967339924</v>
      </c>
      <c r="T888" s="37">
        <f t="shared" si="155"/>
        <v>2.0984206040332949</v>
      </c>
      <c r="U888" s="42">
        <f t="shared" si="157"/>
        <v>2.7708520116421442</v>
      </c>
      <c r="V888" s="41" t="e">
        <f t="shared" si="158"/>
        <v>#NUM!</v>
      </c>
      <c r="W888" s="43" t="e">
        <f t="shared" si="159"/>
        <v>#VALUE!</v>
      </c>
      <c r="X888" s="43" t="e">
        <f t="shared" si="160"/>
        <v>#VALUE!</v>
      </c>
    </row>
    <row r="889" spans="1:24" ht="15" customHeight="1">
      <c r="A889" s="46"/>
      <c r="B889" s="8">
        <v>5</v>
      </c>
      <c r="C889" s="8">
        <f t="shared" si="122"/>
        <v>2.5</v>
      </c>
      <c r="D889" s="16" t="s">
        <v>42</v>
      </c>
      <c r="E889" s="12" t="s">
        <v>129</v>
      </c>
      <c r="F889" s="17" t="s">
        <v>34</v>
      </c>
      <c r="G889" s="17" t="s">
        <v>28</v>
      </c>
      <c r="H889" s="17" t="s">
        <v>29</v>
      </c>
      <c r="I889" s="17" t="s">
        <v>36</v>
      </c>
      <c r="J889" s="8">
        <v>2.87</v>
      </c>
      <c r="K889" s="8">
        <v>3.53</v>
      </c>
      <c r="L889" s="8">
        <f t="shared" si="138"/>
        <v>22.996515679442496</v>
      </c>
      <c r="M889" s="9">
        <v>59</v>
      </c>
      <c r="N889" s="9">
        <v>59</v>
      </c>
      <c r="O889" s="10">
        <f t="shared" si="147"/>
        <v>0</v>
      </c>
      <c r="P889" s="11" t="s">
        <v>31</v>
      </c>
      <c r="Q889" s="11" t="s">
        <v>31</v>
      </c>
      <c r="R889" s="33" t="e">
        <f t="shared" si="161"/>
        <v>#VALUE!</v>
      </c>
      <c r="S889" s="37">
        <f t="shared" si="154"/>
        <v>1.4578818967339924</v>
      </c>
      <c r="T889" s="37">
        <f t="shared" si="155"/>
        <v>2.361662038807876</v>
      </c>
      <c r="U889" s="42">
        <f t="shared" si="157"/>
        <v>2.7708520116421442</v>
      </c>
      <c r="V889" s="41" t="e">
        <f t="shared" si="158"/>
        <v>#NUM!</v>
      </c>
      <c r="W889" s="43" t="e">
        <f t="shared" si="159"/>
        <v>#VALUE!</v>
      </c>
      <c r="X889" s="43" t="e">
        <f t="shared" si="160"/>
        <v>#VALUE!</v>
      </c>
    </row>
    <row r="890" spans="1:24" ht="15" customHeight="1">
      <c r="A890" s="46"/>
      <c r="B890" s="8">
        <v>7</v>
      </c>
      <c r="C890" s="8">
        <f t="shared" si="122"/>
        <v>3.5</v>
      </c>
      <c r="D890" s="16" t="s">
        <v>42</v>
      </c>
      <c r="E890" s="12" t="s">
        <v>129</v>
      </c>
      <c r="F890" s="17" t="s">
        <v>34</v>
      </c>
      <c r="G890" s="17" t="s">
        <v>28</v>
      </c>
      <c r="H890" s="17" t="s">
        <v>29</v>
      </c>
      <c r="I890" s="17" t="s">
        <v>36</v>
      </c>
      <c r="J890" s="8">
        <v>2.87</v>
      </c>
      <c r="K890" s="8">
        <v>3.4</v>
      </c>
      <c r="L890" s="8">
        <f t="shared" si="138"/>
        <v>18.466898954703826</v>
      </c>
      <c r="M890" s="9">
        <v>59</v>
      </c>
      <c r="N890" s="9">
        <v>58</v>
      </c>
      <c r="O890" s="10">
        <f t="shared" si="147"/>
        <v>-1.6949152542372881</v>
      </c>
      <c r="P890" s="11" t="s">
        <v>31</v>
      </c>
      <c r="Q890" s="11" t="s">
        <v>31</v>
      </c>
      <c r="R890" s="33" t="e">
        <f t="shared" si="161"/>
        <v>#VALUE!</v>
      </c>
      <c r="S890" s="37">
        <f t="shared" si="154"/>
        <v>1.4578818967339924</v>
      </c>
      <c r="T890" s="37">
        <f t="shared" si="155"/>
        <v>2.2663939728667963</v>
      </c>
      <c r="U890" s="42">
        <f t="shared" si="157"/>
        <v>2.7708520116421442</v>
      </c>
      <c r="V890" s="41" t="e">
        <f t="shared" si="158"/>
        <v>#NUM!</v>
      </c>
      <c r="W890" s="43" t="e">
        <f t="shared" si="159"/>
        <v>#VALUE!</v>
      </c>
      <c r="X890" s="43" t="e">
        <f t="shared" si="160"/>
        <v>#VALUE!</v>
      </c>
    </row>
    <row r="891" spans="1:24" ht="15" customHeight="1">
      <c r="A891" s="47"/>
      <c r="B891" s="8">
        <v>10</v>
      </c>
      <c r="C891" s="8">
        <f t="shared" si="122"/>
        <v>5</v>
      </c>
      <c r="D891" s="16" t="s">
        <v>42</v>
      </c>
      <c r="E891" s="12" t="s">
        <v>129</v>
      </c>
      <c r="F891" s="17" t="s">
        <v>34</v>
      </c>
      <c r="G891" s="17" t="s">
        <v>28</v>
      </c>
      <c r="H891" s="17" t="s">
        <v>29</v>
      </c>
      <c r="I891" s="17" t="s">
        <v>36</v>
      </c>
      <c r="J891" s="8">
        <v>2.87</v>
      </c>
      <c r="K891" s="8">
        <v>3.79</v>
      </c>
      <c r="L891" s="8">
        <f t="shared" si="138"/>
        <v>32.055749128919857</v>
      </c>
      <c r="M891" s="9">
        <v>59</v>
      </c>
      <c r="N891" s="9">
        <v>41</v>
      </c>
      <c r="O891" s="10">
        <f t="shared" si="147"/>
        <v>-30.508474576271187</v>
      </c>
      <c r="P891" s="11" t="s">
        <v>31</v>
      </c>
      <c r="Q891" s="11" t="s">
        <v>31</v>
      </c>
      <c r="R891" s="33" t="e">
        <f t="shared" si="161"/>
        <v>#VALUE!</v>
      </c>
      <c r="S891" s="37">
        <f t="shared" si="154"/>
        <v>1.4578818967339924</v>
      </c>
      <c r="T891" s="37">
        <f t="shared" si="155"/>
        <v>2.5059059306115627</v>
      </c>
      <c r="U891" s="42">
        <f t="shared" si="157"/>
        <v>2.7708520116421442</v>
      </c>
      <c r="V891" s="41" t="e">
        <f t="shared" si="158"/>
        <v>#NUM!</v>
      </c>
      <c r="W891" s="43" t="e">
        <f t="shared" si="159"/>
        <v>#VALUE!</v>
      </c>
      <c r="X891" s="43" t="e">
        <f t="shared" si="160"/>
        <v>#VALUE!</v>
      </c>
    </row>
    <row r="892" spans="1:24" ht="15" customHeight="1">
      <c r="A892" s="45" t="s">
        <v>290</v>
      </c>
      <c r="B892" s="8">
        <v>3</v>
      </c>
      <c r="C892" s="8">
        <f t="shared" si="122"/>
        <v>1.5</v>
      </c>
      <c r="D892" s="16" t="s">
        <v>42</v>
      </c>
      <c r="E892" s="12" t="s">
        <v>43</v>
      </c>
      <c r="F892" s="17" t="s">
        <v>112</v>
      </c>
      <c r="G892" s="17" t="s">
        <v>38</v>
      </c>
      <c r="H892" s="17" t="s">
        <v>29</v>
      </c>
      <c r="I892" s="17" t="s">
        <v>36</v>
      </c>
      <c r="J892" s="8">
        <v>3.028</v>
      </c>
      <c r="K892" s="8">
        <v>3.1389999999999998</v>
      </c>
      <c r="L892" s="8">
        <f t="shared" si="138"/>
        <v>3.6657859973579843</v>
      </c>
      <c r="M892" s="9">
        <v>62.5</v>
      </c>
      <c r="N892" s="9">
        <v>64.900000000000006</v>
      </c>
      <c r="O892" s="10">
        <f t="shared" si="147"/>
        <v>3.8400000000000092</v>
      </c>
      <c r="P892" s="31">
        <v>7.8E-2</v>
      </c>
      <c r="Q892" s="31">
        <v>7.2999999999999995E-2</v>
      </c>
      <c r="R892" s="33">
        <f t="shared" si="161"/>
        <v>-6.4102564102564168</v>
      </c>
      <c r="S892" s="37">
        <f t="shared" si="154"/>
        <v>1.4811558708280352</v>
      </c>
      <c r="T892" s="37">
        <f t="shared" si="155"/>
        <v>1.5641671079586215</v>
      </c>
      <c r="U892" s="42">
        <f t="shared" si="157"/>
        <v>2.7958800173440754</v>
      </c>
      <c r="V892" s="41">
        <f t="shared" si="158"/>
        <v>1.5843312243675318</v>
      </c>
      <c r="W892" s="43">
        <f t="shared" si="159"/>
        <v>-0.10790539730951958</v>
      </c>
      <c r="X892" s="43" t="e">
        <f t="shared" si="160"/>
        <v>#NUM!</v>
      </c>
    </row>
    <row r="893" spans="1:24" ht="15" customHeight="1">
      <c r="A893" s="46"/>
      <c r="B893" s="8">
        <v>3</v>
      </c>
      <c r="C893" s="8">
        <f t="shared" si="122"/>
        <v>1.5</v>
      </c>
      <c r="D893" s="16" t="s">
        <v>42</v>
      </c>
      <c r="E893" s="12" t="s">
        <v>43</v>
      </c>
      <c r="F893" s="17" t="s">
        <v>112</v>
      </c>
      <c r="G893" s="17" t="s">
        <v>38</v>
      </c>
      <c r="H893" s="17" t="s">
        <v>29</v>
      </c>
      <c r="I893" s="17" t="s">
        <v>36</v>
      </c>
      <c r="J893" s="8">
        <v>3.028</v>
      </c>
      <c r="K893" s="8">
        <v>3.0880000000000001</v>
      </c>
      <c r="L893" s="8">
        <f t="shared" si="138"/>
        <v>1.9815059445178351</v>
      </c>
      <c r="M893" s="9">
        <v>62.5</v>
      </c>
      <c r="N893" s="9">
        <v>68.3</v>
      </c>
      <c r="O893" s="10">
        <f t="shared" si="147"/>
        <v>9.2799999999999958</v>
      </c>
      <c r="P893" s="31">
        <v>7.8E-2</v>
      </c>
      <c r="Q893" s="31">
        <v>7.6999999999999999E-2</v>
      </c>
      <c r="R893" s="33">
        <f t="shared" si="161"/>
        <v>-1.2820512820512833</v>
      </c>
      <c r="S893" s="37">
        <f t="shared" si="154"/>
        <v>1.4811558708280352</v>
      </c>
      <c r="T893" s="37">
        <f t="shared" si="155"/>
        <v>1.2969953795556088</v>
      </c>
      <c r="U893" s="42">
        <f t="shared" si="157"/>
        <v>2.7958800173440754</v>
      </c>
      <c r="V893" s="41">
        <f t="shared" si="158"/>
        <v>1.9675479762188619</v>
      </c>
      <c r="W893" s="43">
        <f t="shared" si="159"/>
        <v>-0.10790539730951958</v>
      </c>
      <c r="X893" s="43" t="e">
        <f t="shared" si="160"/>
        <v>#NUM!</v>
      </c>
    </row>
    <row r="894" spans="1:24" ht="15" customHeight="1">
      <c r="A894" s="46"/>
      <c r="B894" s="8">
        <v>3</v>
      </c>
      <c r="C894" s="8">
        <f t="shared" si="122"/>
        <v>1.5</v>
      </c>
      <c r="D894" s="16" t="s">
        <v>42</v>
      </c>
      <c r="E894" s="12" t="s">
        <v>43</v>
      </c>
      <c r="F894" s="17" t="s">
        <v>34</v>
      </c>
      <c r="G894" s="17" t="s">
        <v>28</v>
      </c>
      <c r="H894" s="17" t="s">
        <v>29</v>
      </c>
      <c r="I894" s="17" t="s">
        <v>36</v>
      </c>
      <c r="J894" s="8">
        <v>3.028</v>
      </c>
      <c r="K894" s="8">
        <v>3.3149999999999999</v>
      </c>
      <c r="L894" s="8">
        <f t="shared" si="138"/>
        <v>9.4782034346103003</v>
      </c>
      <c r="M894" s="9">
        <v>62.5</v>
      </c>
      <c r="N894" s="9">
        <v>69.7</v>
      </c>
      <c r="O894" s="10">
        <f t="shared" si="147"/>
        <v>11.520000000000005</v>
      </c>
      <c r="P894" s="31">
        <v>7.8E-2</v>
      </c>
      <c r="Q894" s="31">
        <v>6.4000000000000001E-2</v>
      </c>
      <c r="R894" s="33">
        <f t="shared" si="161"/>
        <v>-17.948717948717945</v>
      </c>
      <c r="S894" s="37">
        <f t="shared" si="154"/>
        <v>1.4811558708280352</v>
      </c>
      <c r="T894" s="37">
        <f t="shared" si="155"/>
        <v>1.9767260259059569</v>
      </c>
      <c r="U894" s="42">
        <f t="shared" si="157"/>
        <v>2.7958800173440754</v>
      </c>
      <c r="V894" s="41">
        <f t="shared" si="158"/>
        <v>2.0614524790871935</v>
      </c>
      <c r="W894" s="43">
        <f t="shared" si="159"/>
        <v>-0.10790539730951958</v>
      </c>
      <c r="X894" s="43" t="e">
        <f t="shared" si="160"/>
        <v>#NUM!</v>
      </c>
    </row>
    <row r="895" spans="1:24" ht="15" customHeight="1">
      <c r="A895" s="46"/>
      <c r="B895" s="8">
        <v>3</v>
      </c>
      <c r="C895" s="8">
        <f t="shared" si="122"/>
        <v>1.5</v>
      </c>
      <c r="D895" s="16" t="s">
        <v>42</v>
      </c>
      <c r="E895" s="12" t="s">
        <v>43</v>
      </c>
      <c r="F895" s="17" t="s">
        <v>34</v>
      </c>
      <c r="G895" s="17" t="s">
        <v>37</v>
      </c>
      <c r="H895" s="17" t="s">
        <v>29</v>
      </c>
      <c r="I895" s="17" t="s">
        <v>36</v>
      </c>
      <c r="J895" s="8">
        <v>3.028</v>
      </c>
      <c r="K895" s="8">
        <v>3.03</v>
      </c>
      <c r="L895" s="8">
        <f t="shared" si="138"/>
        <v>6.6050198150587172E-2</v>
      </c>
      <c r="M895" s="9">
        <v>62.5</v>
      </c>
      <c r="N895" s="9">
        <v>57.5</v>
      </c>
      <c r="O895" s="10">
        <f t="shared" si="147"/>
        <v>-8</v>
      </c>
      <c r="P895" s="31">
        <v>7.8E-2</v>
      </c>
      <c r="Q895" s="31">
        <v>0.06</v>
      </c>
      <c r="R895" s="33">
        <f t="shared" si="161"/>
        <v>-23.07692307692308</v>
      </c>
      <c r="S895" s="37">
        <f t="shared" si="154"/>
        <v>1.4811558708280352</v>
      </c>
      <c r="T895" s="37">
        <f t="shared" si="155"/>
        <v>-0.18012587516410183</v>
      </c>
      <c r="U895" s="42">
        <f t="shared" si="157"/>
        <v>2.7958800173440754</v>
      </c>
      <c r="V895" s="41" t="e">
        <f t="shared" si="158"/>
        <v>#NUM!</v>
      </c>
      <c r="W895" s="43">
        <f t="shared" si="159"/>
        <v>-0.10790539730951958</v>
      </c>
      <c r="X895" s="43" t="e">
        <f t="shared" si="160"/>
        <v>#NUM!</v>
      </c>
    </row>
    <row r="896" spans="1:24" ht="15" customHeight="1">
      <c r="A896" s="46"/>
      <c r="B896" s="8">
        <v>3</v>
      </c>
      <c r="C896" s="8">
        <f t="shared" si="122"/>
        <v>1.5</v>
      </c>
      <c r="D896" s="16" t="s">
        <v>42</v>
      </c>
      <c r="E896" s="12" t="s">
        <v>43</v>
      </c>
      <c r="F896" s="17" t="s">
        <v>34</v>
      </c>
      <c r="G896" s="17" t="s">
        <v>37</v>
      </c>
      <c r="H896" s="17" t="s">
        <v>29</v>
      </c>
      <c r="I896" s="17" t="s">
        <v>36</v>
      </c>
      <c r="J896" s="8">
        <v>3.028</v>
      </c>
      <c r="K896" s="8">
        <v>3.0790000000000002</v>
      </c>
      <c r="L896" s="8">
        <f t="shared" si="138"/>
        <v>1.6842800528401636</v>
      </c>
      <c r="M896" s="9">
        <v>62.5</v>
      </c>
      <c r="N896" s="9">
        <v>44.2</v>
      </c>
      <c r="O896" s="10">
        <f t="shared" si="147"/>
        <v>-29.279999999999994</v>
      </c>
      <c r="P896" s="31">
        <v>7.8E-2</v>
      </c>
      <c r="Q896" s="31">
        <v>3.5000000000000003E-2</v>
      </c>
      <c r="R896" s="33">
        <f t="shared" si="161"/>
        <v>-55.128205128205124</v>
      </c>
      <c r="S896" s="37">
        <f t="shared" si="154"/>
        <v>1.4811558708280352</v>
      </c>
      <c r="T896" s="37">
        <f t="shared" si="155"/>
        <v>1.2264143052699026</v>
      </c>
      <c r="U896" s="42">
        <f t="shared" si="157"/>
        <v>2.7958800173440754</v>
      </c>
      <c r="V896" s="41" t="e">
        <f t="shared" si="158"/>
        <v>#NUM!</v>
      </c>
      <c r="W896" s="43">
        <f t="shared" si="159"/>
        <v>-0.10790539730951958</v>
      </c>
      <c r="X896" s="43" t="e">
        <f t="shared" si="160"/>
        <v>#NUM!</v>
      </c>
    </row>
    <row r="897" spans="1:24" ht="15" customHeight="1">
      <c r="A897" s="46"/>
      <c r="B897" s="8">
        <v>3</v>
      </c>
      <c r="C897" s="8">
        <f t="shared" si="122"/>
        <v>1.5</v>
      </c>
      <c r="D897" s="16" t="s">
        <v>42</v>
      </c>
      <c r="E897" s="12" t="s">
        <v>43</v>
      </c>
      <c r="F897" s="17" t="s">
        <v>34</v>
      </c>
      <c r="G897" s="17" t="s">
        <v>37</v>
      </c>
      <c r="H897" s="17" t="s">
        <v>29</v>
      </c>
      <c r="I897" s="17" t="s">
        <v>36</v>
      </c>
      <c r="J897" s="8">
        <v>3.028</v>
      </c>
      <c r="K897" s="8">
        <v>2.964</v>
      </c>
      <c r="L897" s="8">
        <f t="shared" si="138"/>
        <v>-2.1136063408190244</v>
      </c>
      <c r="M897" s="9">
        <v>62.5</v>
      </c>
      <c r="N897" s="9">
        <v>53.1</v>
      </c>
      <c r="O897" s="10">
        <f t="shared" si="147"/>
        <v>-15.039999999999997</v>
      </c>
      <c r="P897" s="31">
        <v>7.8E-2</v>
      </c>
      <c r="Q897" s="31">
        <v>4.5999999999999999E-2</v>
      </c>
      <c r="R897" s="33">
        <f t="shared" si="161"/>
        <v>-41.025641025641022</v>
      </c>
      <c r="S897" s="37">
        <f t="shared" si="154"/>
        <v>1.4811558708280352</v>
      </c>
      <c r="T897" s="37" t="e">
        <f t="shared" si="155"/>
        <v>#NUM!</v>
      </c>
      <c r="U897" s="42">
        <f t="shared" si="157"/>
        <v>2.7958800173440754</v>
      </c>
      <c r="V897" s="41" t="e">
        <f t="shared" si="158"/>
        <v>#NUM!</v>
      </c>
      <c r="W897" s="43">
        <f t="shared" si="159"/>
        <v>-0.10790539730951958</v>
      </c>
      <c r="X897" s="43" t="e">
        <f t="shared" si="160"/>
        <v>#NUM!</v>
      </c>
    </row>
    <row r="898" spans="1:24" ht="15" customHeight="1">
      <c r="A898" s="46"/>
      <c r="B898" s="8">
        <v>3</v>
      </c>
      <c r="C898" s="8">
        <f t="shared" si="122"/>
        <v>1.5</v>
      </c>
      <c r="D898" s="16" t="s">
        <v>42</v>
      </c>
      <c r="E898" s="12" t="s">
        <v>43</v>
      </c>
      <c r="F898" s="17" t="s">
        <v>34</v>
      </c>
      <c r="G898" s="17" t="s">
        <v>37</v>
      </c>
      <c r="H898" s="17" t="s">
        <v>29</v>
      </c>
      <c r="I898" s="17" t="s">
        <v>36</v>
      </c>
      <c r="J898" s="8">
        <v>3.028</v>
      </c>
      <c r="K898" s="8">
        <v>2.855</v>
      </c>
      <c r="L898" s="8">
        <f t="shared" si="138"/>
        <v>-5.7133421400264215</v>
      </c>
      <c r="M898" s="9">
        <v>62.5</v>
      </c>
      <c r="N898" s="9">
        <v>47.2</v>
      </c>
      <c r="O898" s="10">
        <f t="shared" si="147"/>
        <v>-24.479999999999997</v>
      </c>
      <c r="P898" s="31">
        <v>7.8E-2</v>
      </c>
      <c r="Q898" s="31">
        <v>5.0999999999999997E-2</v>
      </c>
      <c r="R898" s="33">
        <f t="shared" si="161"/>
        <v>-34.61538461538462</v>
      </c>
      <c r="S898" s="37">
        <f t="shared" si="154"/>
        <v>1.4811558708280352</v>
      </c>
      <c r="T898" s="37" t="e">
        <f t="shared" si="155"/>
        <v>#NUM!</v>
      </c>
      <c r="U898" s="42">
        <f t="shared" si="157"/>
        <v>2.7958800173440754</v>
      </c>
      <c r="V898" s="41" t="e">
        <f t="shared" si="158"/>
        <v>#NUM!</v>
      </c>
      <c r="W898" s="43">
        <f t="shared" si="159"/>
        <v>-0.10790539730951958</v>
      </c>
      <c r="X898" s="43" t="e">
        <f t="shared" si="160"/>
        <v>#NUM!</v>
      </c>
    </row>
    <row r="899" spans="1:24" ht="15" customHeight="1">
      <c r="A899" s="46"/>
      <c r="B899" s="8">
        <v>1</v>
      </c>
      <c r="C899" s="8">
        <f t="shared" si="122"/>
        <v>0.5</v>
      </c>
      <c r="D899" s="16" t="s">
        <v>42</v>
      </c>
      <c r="E899" s="12" t="s">
        <v>43</v>
      </c>
      <c r="F899" s="17" t="s">
        <v>34</v>
      </c>
      <c r="G899" s="17" t="s">
        <v>28</v>
      </c>
      <c r="H899" s="17" t="s">
        <v>29</v>
      </c>
      <c r="I899" s="17" t="s">
        <v>36</v>
      </c>
      <c r="J899" s="8">
        <v>3.028</v>
      </c>
      <c r="K899" s="8">
        <v>3.0990000000000002</v>
      </c>
      <c r="L899" s="8">
        <f t="shared" si="138"/>
        <v>2.3447820343461085</v>
      </c>
      <c r="M899" s="9">
        <v>62.5</v>
      </c>
      <c r="N899" s="9">
        <v>60.6</v>
      </c>
      <c r="O899" s="10">
        <f t="shared" si="147"/>
        <v>-3.0399999999999974</v>
      </c>
      <c r="P899" s="31">
        <v>7.8E-2</v>
      </c>
      <c r="Q899" s="31">
        <v>5.8999999999999997E-2</v>
      </c>
      <c r="R899" s="33">
        <f t="shared" si="161"/>
        <v>-24.358974358974365</v>
      </c>
      <c r="S899" s="37">
        <f t="shared" si="154"/>
        <v>1.4811558708280352</v>
      </c>
      <c r="T899" s="37">
        <f t="shared" si="155"/>
        <v>1.3701024778910411</v>
      </c>
      <c r="U899" s="42">
        <f t="shared" si="157"/>
        <v>2.7958800173440754</v>
      </c>
      <c r="V899" s="41" t="e">
        <f t="shared" si="158"/>
        <v>#NUM!</v>
      </c>
      <c r="W899" s="43">
        <f t="shared" si="159"/>
        <v>-0.10790539730951958</v>
      </c>
      <c r="X899" s="43" t="e">
        <f t="shared" si="160"/>
        <v>#NUM!</v>
      </c>
    </row>
    <row r="900" spans="1:24" ht="15" customHeight="1">
      <c r="A900" s="46"/>
      <c r="B900" s="8">
        <v>6</v>
      </c>
      <c r="C900" s="8">
        <f t="shared" si="122"/>
        <v>3</v>
      </c>
      <c r="D900" s="16" t="s">
        <v>42</v>
      </c>
      <c r="E900" s="12" t="s">
        <v>43</v>
      </c>
      <c r="F900" s="17" t="s">
        <v>34</v>
      </c>
      <c r="G900" s="17" t="s">
        <v>28</v>
      </c>
      <c r="H900" s="17" t="s">
        <v>29</v>
      </c>
      <c r="I900" s="17" t="s">
        <v>36</v>
      </c>
      <c r="J900" s="8">
        <v>3.028</v>
      </c>
      <c r="K900" s="8">
        <v>3.5139999999999998</v>
      </c>
      <c r="L900" s="8">
        <f t="shared" si="138"/>
        <v>16.050198150594444</v>
      </c>
      <c r="M900" s="9">
        <v>62.5</v>
      </c>
      <c r="N900" s="9">
        <v>55.8</v>
      </c>
      <c r="O900" s="10">
        <f t="shared" si="147"/>
        <v>-10.720000000000004</v>
      </c>
      <c r="P900" s="31">
        <v>7.8E-2</v>
      </c>
      <c r="Q900" s="31">
        <v>3.6999999999999998E-2</v>
      </c>
      <c r="R900" s="33">
        <f t="shared" si="161"/>
        <v>-52.564102564102569</v>
      </c>
      <c r="S900" s="37">
        <f t="shared" si="154"/>
        <v>1.4811558708280352</v>
      </c>
      <c r="T900" s="37">
        <f t="shared" si="155"/>
        <v>2.2054803984342581</v>
      </c>
      <c r="U900" s="42">
        <f t="shared" si="157"/>
        <v>2.7958800173440754</v>
      </c>
      <c r="V900" s="41" t="e">
        <f t="shared" si="158"/>
        <v>#NUM!</v>
      </c>
      <c r="W900" s="43">
        <f t="shared" si="159"/>
        <v>-0.10790539730951958</v>
      </c>
      <c r="X900" s="43" t="e">
        <f t="shared" si="160"/>
        <v>#NUM!</v>
      </c>
    </row>
    <row r="901" spans="1:24" ht="15" customHeight="1">
      <c r="A901" s="46"/>
      <c r="B901" s="8">
        <v>10</v>
      </c>
      <c r="C901" s="8">
        <f t="shared" si="122"/>
        <v>5</v>
      </c>
      <c r="D901" s="16" t="s">
        <v>42</v>
      </c>
      <c r="E901" s="12" t="s">
        <v>43</v>
      </c>
      <c r="F901" s="17" t="s">
        <v>34</v>
      </c>
      <c r="G901" s="17" t="s">
        <v>28</v>
      </c>
      <c r="H901" s="17" t="s">
        <v>29</v>
      </c>
      <c r="I901" s="17" t="s">
        <v>36</v>
      </c>
      <c r="J901" s="8">
        <v>3.028</v>
      </c>
      <c r="K901" s="8">
        <v>3.7829999999999999</v>
      </c>
      <c r="L901" s="8">
        <f t="shared" si="138"/>
        <v>24.933949801849401</v>
      </c>
      <c r="M901" s="9">
        <v>62.5</v>
      </c>
      <c r="N901" s="9">
        <v>43.1</v>
      </c>
      <c r="O901" s="10">
        <f t="shared" si="147"/>
        <v>-31.039999999999996</v>
      </c>
      <c r="P901" s="31">
        <v>7.8E-2</v>
      </c>
      <c r="Q901" s="31">
        <v>2.4E-2</v>
      </c>
      <c r="R901" s="33">
        <f t="shared" si="161"/>
        <v>-69.230769230769226</v>
      </c>
      <c r="S901" s="37">
        <f t="shared" si="154"/>
        <v>1.4811558708280352</v>
      </c>
      <c r="T901" s="37">
        <f t="shared" si="155"/>
        <v>2.3967910808011528</v>
      </c>
      <c r="U901" s="42">
        <f t="shared" si="157"/>
        <v>2.7958800173440754</v>
      </c>
      <c r="V901" s="41" t="e">
        <f t="shared" si="158"/>
        <v>#NUM!</v>
      </c>
      <c r="W901" s="43">
        <f t="shared" si="159"/>
        <v>-0.10790539730951958</v>
      </c>
      <c r="X901" s="43" t="e">
        <f t="shared" si="160"/>
        <v>#NUM!</v>
      </c>
    </row>
    <row r="902" spans="1:24" ht="15" customHeight="1">
      <c r="A902" s="46"/>
      <c r="B902" s="8">
        <v>3</v>
      </c>
      <c r="C902" s="8">
        <f t="shared" si="122"/>
        <v>1.5</v>
      </c>
      <c r="D902" s="16" t="s">
        <v>61</v>
      </c>
      <c r="E902" s="12" t="s">
        <v>43</v>
      </c>
      <c r="F902" s="17" t="s">
        <v>112</v>
      </c>
      <c r="G902" s="17" t="s">
        <v>38</v>
      </c>
      <c r="H902" s="17" t="s">
        <v>29</v>
      </c>
      <c r="I902" s="17" t="s">
        <v>36</v>
      </c>
      <c r="J902" s="8">
        <v>4.7999999999999996E-3</v>
      </c>
      <c r="K902" s="8">
        <v>4.8999999999999998E-3</v>
      </c>
      <c r="L902" s="8">
        <f t="shared" si="138"/>
        <v>2.0833333333333393</v>
      </c>
      <c r="M902" s="9">
        <v>0.28000000000000003</v>
      </c>
      <c r="N902" s="9">
        <v>0.37</v>
      </c>
      <c r="O902" s="10">
        <f t="shared" si="147"/>
        <v>32.142857142857132</v>
      </c>
      <c r="P902" s="31">
        <v>0.129</v>
      </c>
      <c r="Q902" s="31">
        <v>0.189</v>
      </c>
      <c r="R902" s="33">
        <f t="shared" si="161"/>
        <v>46.511627906976742</v>
      </c>
      <c r="S902" s="37">
        <f t="shared" si="154"/>
        <v>-1.3187587626244128</v>
      </c>
      <c r="T902" s="37">
        <f t="shared" si="155"/>
        <v>1.3187587626244139</v>
      </c>
      <c r="U902" s="42">
        <f t="shared" si="157"/>
        <v>0.44715803134221926</v>
      </c>
      <c r="V902" s="41">
        <f t="shared" si="158"/>
        <v>2.5070844780971053</v>
      </c>
      <c r="W902" s="43">
        <f t="shared" si="159"/>
        <v>0.11058971029924898</v>
      </c>
      <c r="X902" s="43">
        <f t="shared" si="160"/>
        <v>2.6675615400843946</v>
      </c>
    </row>
    <row r="903" spans="1:24" ht="15" customHeight="1">
      <c r="A903" s="46"/>
      <c r="B903" s="8">
        <v>3</v>
      </c>
      <c r="C903" s="8">
        <f t="shared" si="122"/>
        <v>1.5</v>
      </c>
      <c r="D903" s="16" t="s">
        <v>61</v>
      </c>
      <c r="E903" s="12" t="s">
        <v>43</v>
      </c>
      <c r="F903" s="17" t="s">
        <v>34</v>
      </c>
      <c r="G903" s="17" t="s">
        <v>28</v>
      </c>
      <c r="H903" s="17" t="s">
        <v>29</v>
      </c>
      <c r="I903" s="17" t="s">
        <v>36</v>
      </c>
      <c r="J903" s="8">
        <v>4.7999999999999996E-3</v>
      </c>
      <c r="K903" s="8">
        <v>6.4999999999999997E-3</v>
      </c>
      <c r="L903" s="8">
        <f t="shared" si="138"/>
        <v>35.416666666666671</v>
      </c>
      <c r="M903" s="9">
        <v>0.28000000000000003</v>
      </c>
      <c r="N903" s="9">
        <v>0.89</v>
      </c>
      <c r="O903" s="10">
        <f t="shared" si="147"/>
        <v>217.85714285714283</v>
      </c>
      <c r="P903" s="31">
        <v>0.129</v>
      </c>
      <c r="Q903" s="31">
        <v>0.38300000000000001</v>
      </c>
      <c r="R903" s="33">
        <f t="shared" si="161"/>
        <v>196.89922480620154</v>
      </c>
      <c r="S903" s="37">
        <f t="shared" si="154"/>
        <v>-1.3187587626244128</v>
      </c>
      <c r="T903" s="37">
        <f t="shared" si="155"/>
        <v>2.5492076840026869</v>
      </c>
      <c r="U903" s="42">
        <f t="shared" si="157"/>
        <v>0.44715803134221926</v>
      </c>
      <c r="V903" s="41">
        <f t="shared" si="158"/>
        <v>3.3381718036685477</v>
      </c>
      <c r="W903" s="43">
        <f t="shared" si="159"/>
        <v>0.11058971029924898</v>
      </c>
      <c r="X903" s="43">
        <f t="shared" si="160"/>
        <v>3.2942440063206893</v>
      </c>
    </row>
    <row r="904" spans="1:24" ht="15" customHeight="1">
      <c r="A904" s="46"/>
      <c r="B904" s="8">
        <v>3</v>
      </c>
      <c r="C904" s="8">
        <f t="shared" si="122"/>
        <v>1.5</v>
      </c>
      <c r="D904" s="16" t="s">
        <v>61</v>
      </c>
      <c r="E904" s="12" t="s">
        <v>43</v>
      </c>
      <c r="F904" s="17" t="s">
        <v>34</v>
      </c>
      <c r="G904" s="17" t="s">
        <v>37</v>
      </c>
      <c r="H904" s="17" t="s">
        <v>29</v>
      </c>
      <c r="I904" s="17" t="s">
        <v>36</v>
      </c>
      <c r="J904" s="8">
        <v>4.7999999999999996E-3</v>
      </c>
      <c r="K904" s="8">
        <v>3.5000000000000001E-3</v>
      </c>
      <c r="L904" s="8">
        <f t="shared" si="138"/>
        <v>-27.083333333333325</v>
      </c>
      <c r="M904" s="9">
        <v>0.28000000000000003</v>
      </c>
      <c r="N904" s="9">
        <v>0.56999999999999995</v>
      </c>
      <c r="O904" s="10">
        <f t="shared" si="147"/>
        <v>103.57142857142854</v>
      </c>
      <c r="P904" s="31">
        <v>0.129</v>
      </c>
      <c r="Q904" s="31">
        <v>0.45900000000000002</v>
      </c>
      <c r="R904" s="33">
        <f t="shared" si="161"/>
        <v>255.81395348837211</v>
      </c>
      <c r="S904" s="37">
        <f t="shared" si="154"/>
        <v>-1.3187587626244128</v>
      </c>
      <c r="T904" s="37" t="e">
        <f t="shared" si="155"/>
        <v>#NUM!</v>
      </c>
      <c r="U904" s="42">
        <f t="shared" si="157"/>
        <v>0.44715803134221926</v>
      </c>
      <c r="V904" s="41">
        <f t="shared" si="158"/>
        <v>3.0152399665567367</v>
      </c>
      <c r="W904" s="43">
        <f t="shared" si="159"/>
        <v>0.11058971029924898</v>
      </c>
      <c r="X904" s="43">
        <f t="shared" si="160"/>
        <v>3.4079242295786387</v>
      </c>
    </row>
    <row r="905" spans="1:24" ht="15" customHeight="1">
      <c r="A905" s="46"/>
      <c r="B905" s="8">
        <v>3</v>
      </c>
      <c r="C905" s="8">
        <f t="shared" si="122"/>
        <v>1.5</v>
      </c>
      <c r="D905" s="16" t="s">
        <v>61</v>
      </c>
      <c r="E905" s="12" t="s">
        <v>43</v>
      </c>
      <c r="F905" s="17" t="s">
        <v>34</v>
      </c>
      <c r="G905" s="17" t="s">
        <v>37</v>
      </c>
      <c r="H905" s="17" t="s">
        <v>29</v>
      </c>
      <c r="I905" s="17" t="s">
        <v>36</v>
      </c>
      <c r="J905" s="8">
        <v>4.7999999999999996E-3</v>
      </c>
      <c r="K905" s="8">
        <v>3.5000000000000001E-3</v>
      </c>
      <c r="L905" s="8">
        <f t="shared" si="138"/>
        <v>-27.083333333333325</v>
      </c>
      <c r="M905" s="9">
        <v>0.28000000000000003</v>
      </c>
      <c r="N905" s="9">
        <v>0.6</v>
      </c>
      <c r="O905" s="10">
        <f t="shared" si="147"/>
        <v>114.28571428571426</v>
      </c>
      <c r="P905" s="31">
        <v>0.129</v>
      </c>
      <c r="Q905" s="31">
        <v>0.503</v>
      </c>
      <c r="R905" s="33">
        <f t="shared" si="161"/>
        <v>289.922480620155</v>
      </c>
      <c r="S905" s="37">
        <f t="shared" si="154"/>
        <v>-1.3187587626244128</v>
      </c>
      <c r="T905" s="37" t="e">
        <f t="shared" si="155"/>
        <v>#NUM!</v>
      </c>
      <c r="U905" s="42">
        <f t="shared" si="157"/>
        <v>0.44715803134221926</v>
      </c>
      <c r="V905" s="41">
        <f t="shared" si="158"/>
        <v>3.0579919469776868</v>
      </c>
      <c r="W905" s="43">
        <f t="shared" si="159"/>
        <v>0.11058971029924898</v>
      </c>
      <c r="X905" s="43">
        <f t="shared" si="160"/>
        <v>3.462281891901231</v>
      </c>
    </row>
    <row r="906" spans="1:24" ht="15" customHeight="1">
      <c r="A906" s="46"/>
      <c r="B906" s="8">
        <v>3</v>
      </c>
      <c r="C906" s="8">
        <f t="shared" si="122"/>
        <v>1.5</v>
      </c>
      <c r="D906" s="16" t="s">
        <v>61</v>
      </c>
      <c r="E906" s="12" t="s">
        <v>43</v>
      </c>
      <c r="F906" s="17" t="s">
        <v>34</v>
      </c>
      <c r="G906" s="17" t="s">
        <v>37</v>
      </c>
      <c r="H906" s="17" t="s">
        <v>29</v>
      </c>
      <c r="I906" s="17" t="s">
        <v>36</v>
      </c>
      <c r="J906" s="8">
        <v>4.7999999999999996E-3</v>
      </c>
      <c r="K906" s="8">
        <v>4.3E-3</v>
      </c>
      <c r="L906" s="8">
        <f t="shared" si="138"/>
        <v>-10.416666666666659</v>
      </c>
      <c r="M906" s="9">
        <v>0.28000000000000003</v>
      </c>
      <c r="N906" s="9">
        <v>0.53</v>
      </c>
      <c r="O906" s="10">
        <f t="shared" si="147"/>
        <v>89.285714285714278</v>
      </c>
      <c r="P906" s="31">
        <v>0.129</v>
      </c>
      <c r="Q906" s="31">
        <v>0.32400000000000001</v>
      </c>
      <c r="R906" s="33">
        <f t="shared" si="161"/>
        <v>151.16279069767441</v>
      </c>
      <c r="S906" s="37">
        <f t="shared" si="154"/>
        <v>-1.3187587626244128</v>
      </c>
      <c r="T906" s="37" t="e">
        <f t="shared" si="155"/>
        <v>#NUM!</v>
      </c>
      <c r="U906" s="42">
        <f t="shared" si="157"/>
        <v>0.44715803134221926</v>
      </c>
      <c r="V906" s="41">
        <f t="shared" si="158"/>
        <v>2.9507819773298185</v>
      </c>
      <c r="W906" s="43">
        <f t="shared" si="159"/>
        <v>0.11058971029924898</v>
      </c>
      <c r="X906" s="43">
        <f t="shared" si="160"/>
        <v>3.179444901063269</v>
      </c>
    </row>
    <row r="907" spans="1:24" ht="15" customHeight="1">
      <c r="A907" s="46"/>
      <c r="B907" s="8">
        <v>6</v>
      </c>
      <c r="C907" s="8">
        <f t="shared" si="122"/>
        <v>3</v>
      </c>
      <c r="D907" s="16" t="s">
        <v>61</v>
      </c>
      <c r="E907" s="12" t="s">
        <v>43</v>
      </c>
      <c r="F907" s="17" t="s">
        <v>34</v>
      </c>
      <c r="G907" s="17" t="s">
        <v>28</v>
      </c>
      <c r="H907" s="17" t="s">
        <v>29</v>
      </c>
      <c r="I907" s="17" t="s">
        <v>36</v>
      </c>
      <c r="J907" s="8">
        <v>4.7999999999999996E-3</v>
      </c>
      <c r="K907" s="8">
        <v>1.2E-2</v>
      </c>
      <c r="L907" s="8">
        <f t="shared" si="138"/>
        <v>150.00000000000003</v>
      </c>
      <c r="M907" s="9">
        <v>0.28000000000000003</v>
      </c>
      <c r="N907" s="9">
        <v>1.73</v>
      </c>
      <c r="O907" s="10">
        <f t="shared" si="147"/>
        <v>517.85714285714278</v>
      </c>
      <c r="P907" s="31">
        <v>0.129</v>
      </c>
      <c r="Q907" s="31">
        <v>0.39400000000000002</v>
      </c>
      <c r="R907" s="33">
        <f t="shared" si="161"/>
        <v>205.4263565891473</v>
      </c>
      <c r="S907" s="37">
        <f t="shared" si="154"/>
        <v>-1.3187587626244128</v>
      </c>
      <c r="T907" s="37">
        <f t="shared" si="155"/>
        <v>3.1760912590556813</v>
      </c>
      <c r="U907" s="42">
        <f t="shared" si="157"/>
        <v>0.44715803134221926</v>
      </c>
      <c r="V907" s="41">
        <f t="shared" si="158"/>
        <v>3.7142099708927554</v>
      </c>
      <c r="W907" s="43">
        <f t="shared" si="159"/>
        <v>0.11058971029924898</v>
      </c>
      <c r="X907" s="43">
        <f t="shared" si="160"/>
        <v>3.3126561636375591</v>
      </c>
    </row>
    <row r="908" spans="1:24" ht="15" customHeight="1">
      <c r="A908" s="47"/>
      <c r="B908" s="26">
        <v>10</v>
      </c>
      <c r="C908" s="26">
        <f t="shared" si="122"/>
        <v>5</v>
      </c>
      <c r="D908" s="16" t="s">
        <v>61</v>
      </c>
      <c r="E908" s="12" t="s">
        <v>43</v>
      </c>
      <c r="F908" s="28" t="s">
        <v>34</v>
      </c>
      <c r="G908" s="28" t="s">
        <v>28</v>
      </c>
      <c r="H908" s="17" t="s">
        <v>29</v>
      </c>
      <c r="I908" s="17" t="s">
        <v>36</v>
      </c>
      <c r="J908" s="8">
        <v>4.7999999999999996E-3</v>
      </c>
      <c r="K908" s="26">
        <v>2.3599999999999999E-2</v>
      </c>
      <c r="L908" s="26">
        <f t="shared" si="138"/>
        <v>391.66666666666669</v>
      </c>
      <c r="M908" s="9">
        <v>0.28000000000000003</v>
      </c>
      <c r="N908" s="29">
        <v>3.5</v>
      </c>
      <c r="O908" s="30">
        <f t="shared" si="147"/>
        <v>1149.9999999999998</v>
      </c>
      <c r="P908" s="31">
        <v>0.129</v>
      </c>
      <c r="Q908" s="31">
        <v>0.55500000000000005</v>
      </c>
      <c r="R908" s="33">
        <f t="shared" si="161"/>
        <v>330.23255813953489</v>
      </c>
      <c r="S908" s="37">
        <f t="shared" si="154"/>
        <v>-1.3187587626244128</v>
      </c>
      <c r="T908" s="37">
        <f t="shared" si="155"/>
        <v>3.5929166118880929</v>
      </c>
      <c r="U908" s="42">
        <f t="shared" si="157"/>
        <v>0.44715803134221926</v>
      </c>
      <c r="V908" s="41">
        <f t="shared" si="158"/>
        <v>4.0606978403536118</v>
      </c>
      <c r="W908" s="43">
        <f t="shared" si="159"/>
        <v>0.11058971029924898</v>
      </c>
      <c r="X908" s="43">
        <f t="shared" si="160"/>
        <v>3.5188198888034701</v>
      </c>
    </row>
    <row r="909" spans="1:24" ht="15" customHeight="1">
      <c r="A909" s="45" t="s">
        <v>291</v>
      </c>
      <c r="B909" s="26">
        <v>5</v>
      </c>
      <c r="C909" s="26">
        <f t="shared" si="122"/>
        <v>2.5</v>
      </c>
      <c r="D909" s="27" t="s">
        <v>42</v>
      </c>
      <c r="E909" s="12" t="s">
        <v>43</v>
      </c>
      <c r="F909" s="28" t="s">
        <v>34</v>
      </c>
      <c r="G909" s="28" t="s">
        <v>35</v>
      </c>
      <c r="H909" s="28" t="s">
        <v>29</v>
      </c>
      <c r="I909" s="28" t="s">
        <v>161</v>
      </c>
      <c r="J909" s="26">
        <v>2.0499999999999998</v>
      </c>
      <c r="K909" s="26">
        <v>3</v>
      </c>
      <c r="L909" s="26">
        <f t="shared" si="138"/>
        <v>46.341463414634163</v>
      </c>
      <c r="M909" s="29">
        <v>20</v>
      </c>
      <c r="N909" s="29">
        <v>30</v>
      </c>
      <c r="O909" s="30">
        <f t="shared" si="147"/>
        <v>50</v>
      </c>
      <c r="P909" s="31">
        <v>0.03</v>
      </c>
      <c r="Q909" s="11">
        <v>0.04</v>
      </c>
      <c r="R909" s="33">
        <f t="shared" si="161"/>
        <v>33.333333333333343</v>
      </c>
      <c r="S909" s="37">
        <f t="shared" si="154"/>
        <v>1.3117538610557542</v>
      </c>
      <c r="T909" s="37">
        <f t="shared" si="155"/>
        <v>2.6659697442330939</v>
      </c>
      <c r="U909" s="42">
        <f t="shared" si="157"/>
        <v>2.3010299956639813</v>
      </c>
      <c r="V909" s="41">
        <f t="shared" si="158"/>
        <v>2.6989700043360187</v>
      </c>
      <c r="W909" s="43">
        <f t="shared" si="159"/>
        <v>-0.52287874528033762</v>
      </c>
      <c r="X909" s="43">
        <f t="shared" si="160"/>
        <v>2.5228787452803378</v>
      </c>
    </row>
    <row r="910" spans="1:24" ht="15" customHeight="1">
      <c r="A910" s="47"/>
      <c r="B910" s="26">
        <v>5</v>
      </c>
      <c r="C910" s="26">
        <f t="shared" si="122"/>
        <v>2.5</v>
      </c>
      <c r="D910" s="27" t="s">
        <v>42</v>
      </c>
      <c r="E910" s="12" t="s">
        <v>43</v>
      </c>
      <c r="F910" s="28" t="s">
        <v>34</v>
      </c>
      <c r="G910" s="28" t="s">
        <v>35</v>
      </c>
      <c r="H910" s="28" t="s">
        <v>29</v>
      </c>
      <c r="I910" s="28" t="s">
        <v>161</v>
      </c>
      <c r="J910" s="26">
        <v>3.1</v>
      </c>
      <c r="K910" s="26">
        <v>3.7</v>
      </c>
      <c r="L910" s="26">
        <f t="shared" si="138"/>
        <v>19.35483870967742</v>
      </c>
      <c r="M910" s="29">
        <v>10</v>
      </c>
      <c r="N910" s="29">
        <v>16</v>
      </c>
      <c r="O910" s="30">
        <f t="shared" si="147"/>
        <v>60</v>
      </c>
      <c r="P910" s="31">
        <v>3.0000000000000001E-3</v>
      </c>
      <c r="Q910" s="11">
        <v>5.0000000000000001E-3</v>
      </c>
      <c r="R910" s="33">
        <f t="shared" si="161"/>
        <v>66.666666666666657</v>
      </c>
      <c r="S910" s="37">
        <f t="shared" si="154"/>
        <v>1.4913616938342726</v>
      </c>
      <c r="T910" s="37">
        <f t="shared" si="155"/>
        <v>2.2867895565493708</v>
      </c>
      <c r="U910" s="42">
        <f t="shared" si="157"/>
        <v>2</v>
      </c>
      <c r="V910" s="41">
        <f t="shared" si="158"/>
        <v>2.7781512503836434</v>
      </c>
      <c r="W910" s="43">
        <f t="shared" si="159"/>
        <v>-1.5228787452803376</v>
      </c>
      <c r="X910" s="43">
        <f t="shared" si="160"/>
        <v>2.8239087409443187</v>
      </c>
    </row>
    <row r="911" spans="1:24" ht="15" customHeight="1">
      <c r="A911" s="45" t="s">
        <v>292</v>
      </c>
      <c r="B911" s="26">
        <v>0.5</v>
      </c>
      <c r="C911" s="26">
        <f t="shared" si="122"/>
        <v>0.25</v>
      </c>
      <c r="D911" s="27" t="s">
        <v>25</v>
      </c>
      <c r="E911" s="27" t="s">
        <v>33</v>
      </c>
      <c r="F911" s="28" t="s">
        <v>34</v>
      </c>
      <c r="G911" s="28" t="s">
        <v>28</v>
      </c>
      <c r="H911" s="28" t="s">
        <v>29</v>
      </c>
      <c r="I911" s="28" t="s">
        <v>161</v>
      </c>
      <c r="J911" s="26">
        <v>1.6</v>
      </c>
      <c r="K911" s="26">
        <v>1.8</v>
      </c>
      <c r="L911" s="26">
        <f t="shared" si="138"/>
        <v>12.499999999999996</v>
      </c>
      <c r="M911" s="29" t="s">
        <v>31</v>
      </c>
      <c r="N911" s="29" t="s">
        <v>31</v>
      </c>
      <c r="O911" s="30" t="e">
        <f t="shared" si="147"/>
        <v>#VALUE!</v>
      </c>
      <c r="P911" s="31" t="s">
        <v>31</v>
      </c>
      <c r="Q911" s="11" t="s">
        <v>31</v>
      </c>
      <c r="R911" s="33" t="e">
        <f t="shared" si="161"/>
        <v>#VALUE!</v>
      </c>
      <c r="S911" s="37">
        <f t="shared" si="154"/>
        <v>1.2041199826559248</v>
      </c>
      <c r="T911" s="37">
        <f t="shared" si="155"/>
        <v>2.0969100130080562</v>
      </c>
      <c r="U911" s="42" t="e">
        <f t="shared" si="157"/>
        <v>#VALUE!</v>
      </c>
      <c r="V911" s="41" t="e">
        <f t="shared" si="158"/>
        <v>#VALUE!</v>
      </c>
      <c r="W911" s="43" t="e">
        <f t="shared" si="159"/>
        <v>#VALUE!</v>
      </c>
      <c r="X911" s="43" t="e">
        <f t="shared" si="160"/>
        <v>#VALUE!</v>
      </c>
    </row>
    <row r="912" spans="1:24" ht="15" customHeight="1">
      <c r="A912" s="46"/>
      <c r="B912" s="26">
        <v>1</v>
      </c>
      <c r="C912" s="26">
        <f t="shared" si="122"/>
        <v>0.5</v>
      </c>
      <c r="D912" s="27" t="s">
        <v>25</v>
      </c>
      <c r="E912" s="27" t="s">
        <v>33</v>
      </c>
      <c r="F912" s="28" t="s">
        <v>34</v>
      </c>
      <c r="G912" s="28" t="s">
        <v>28</v>
      </c>
      <c r="H912" s="28" t="s">
        <v>29</v>
      </c>
      <c r="I912" s="28" t="s">
        <v>161</v>
      </c>
      <c r="J912" s="26">
        <v>1.6</v>
      </c>
      <c r="K912" s="26">
        <v>1.9</v>
      </c>
      <c r="L912" s="26">
        <f t="shared" si="138"/>
        <v>18.749999999999989</v>
      </c>
      <c r="M912" s="29" t="s">
        <v>31</v>
      </c>
      <c r="N912" s="29" t="s">
        <v>31</v>
      </c>
      <c r="O912" s="30" t="e">
        <f t="shared" ref="O912:O943" si="162">(N912-M912)/M912*100</f>
        <v>#VALUE!</v>
      </c>
      <c r="P912" s="31" t="s">
        <v>31</v>
      </c>
      <c r="Q912" s="11" t="s">
        <v>31</v>
      </c>
      <c r="R912" s="33" t="e">
        <f t="shared" si="161"/>
        <v>#VALUE!</v>
      </c>
      <c r="S912" s="37">
        <f t="shared" si="154"/>
        <v>1.2041199826559248</v>
      </c>
      <c r="T912" s="37">
        <f t="shared" si="155"/>
        <v>2.2730012720637376</v>
      </c>
      <c r="U912" s="42" t="e">
        <f t="shared" si="157"/>
        <v>#VALUE!</v>
      </c>
      <c r="V912" s="41" t="e">
        <f t="shared" si="158"/>
        <v>#VALUE!</v>
      </c>
      <c r="W912" s="43" t="e">
        <f t="shared" si="159"/>
        <v>#VALUE!</v>
      </c>
      <c r="X912" s="43" t="e">
        <f t="shared" si="160"/>
        <v>#VALUE!</v>
      </c>
    </row>
    <row r="913" spans="1:24" ht="15" customHeight="1">
      <c r="A913" s="46"/>
      <c r="B913" s="26">
        <v>3</v>
      </c>
      <c r="C913" s="26">
        <f t="shared" si="122"/>
        <v>1.5</v>
      </c>
      <c r="D913" s="27" t="s">
        <v>25</v>
      </c>
      <c r="E913" s="27" t="s">
        <v>33</v>
      </c>
      <c r="F913" s="28" t="s">
        <v>34</v>
      </c>
      <c r="G913" s="28" t="s">
        <v>28</v>
      </c>
      <c r="H913" s="28" t="s">
        <v>29</v>
      </c>
      <c r="I913" s="28" t="s">
        <v>161</v>
      </c>
      <c r="J913" s="26">
        <v>1.6</v>
      </c>
      <c r="K913" s="26">
        <v>1.95</v>
      </c>
      <c r="L913" s="26">
        <f t="shared" si="138"/>
        <v>21.874999999999993</v>
      </c>
      <c r="M913" s="29" t="s">
        <v>31</v>
      </c>
      <c r="N913" s="29" t="s">
        <v>31</v>
      </c>
      <c r="O913" s="30" t="e">
        <f t="shared" si="162"/>
        <v>#VALUE!</v>
      </c>
      <c r="P913" s="31" t="s">
        <v>31</v>
      </c>
      <c r="Q913" s="11" t="s">
        <v>31</v>
      </c>
      <c r="R913" s="33" t="e">
        <f t="shared" si="161"/>
        <v>#VALUE!</v>
      </c>
      <c r="S913" s="37">
        <f t="shared" si="154"/>
        <v>1.2041199826559248</v>
      </c>
      <c r="T913" s="37">
        <f t="shared" si="155"/>
        <v>2.3399480616943507</v>
      </c>
      <c r="U913" s="42" t="e">
        <f t="shared" si="157"/>
        <v>#VALUE!</v>
      </c>
      <c r="V913" s="41" t="e">
        <f t="shared" si="158"/>
        <v>#VALUE!</v>
      </c>
      <c r="W913" s="43" t="e">
        <f t="shared" si="159"/>
        <v>#VALUE!</v>
      </c>
      <c r="X913" s="43" t="e">
        <f t="shared" si="160"/>
        <v>#VALUE!</v>
      </c>
    </row>
    <row r="914" spans="1:24" ht="15" customHeight="1">
      <c r="A914" s="46"/>
      <c r="B914" s="26">
        <v>6</v>
      </c>
      <c r="C914" s="26">
        <f t="shared" si="122"/>
        <v>3</v>
      </c>
      <c r="D914" s="27" t="s">
        <v>25</v>
      </c>
      <c r="E914" s="27" t="s">
        <v>33</v>
      </c>
      <c r="F914" s="28" t="s">
        <v>34</v>
      </c>
      <c r="G914" s="28" t="s">
        <v>28</v>
      </c>
      <c r="H914" s="28" t="s">
        <v>29</v>
      </c>
      <c r="I914" s="28" t="s">
        <v>161</v>
      </c>
      <c r="J914" s="26">
        <v>1.6</v>
      </c>
      <c r="K914" s="26">
        <v>2.0499999999999998</v>
      </c>
      <c r="L914" s="26">
        <f t="shared" si="138"/>
        <v>28.124999999999982</v>
      </c>
      <c r="M914" s="29" t="s">
        <v>31</v>
      </c>
      <c r="N914" s="29" t="s">
        <v>31</v>
      </c>
      <c r="O914" s="30" t="e">
        <f t="shared" si="162"/>
        <v>#VALUE!</v>
      </c>
      <c r="P914" s="31" t="s">
        <v>31</v>
      </c>
      <c r="Q914" s="11" t="s">
        <v>31</v>
      </c>
      <c r="R914" s="33" t="e">
        <f t="shared" si="161"/>
        <v>#VALUE!</v>
      </c>
      <c r="S914" s="37">
        <f t="shared" si="154"/>
        <v>1.2041199826559248</v>
      </c>
      <c r="T914" s="37">
        <f t="shared" si="155"/>
        <v>2.4490925311194185</v>
      </c>
      <c r="U914" s="42" t="e">
        <f t="shared" si="157"/>
        <v>#VALUE!</v>
      </c>
      <c r="V914" s="41" t="e">
        <f t="shared" si="158"/>
        <v>#VALUE!</v>
      </c>
      <c r="W914" s="43" t="e">
        <f t="shared" si="159"/>
        <v>#VALUE!</v>
      </c>
      <c r="X914" s="43" t="e">
        <f t="shared" si="160"/>
        <v>#VALUE!</v>
      </c>
    </row>
    <row r="915" spans="1:24" ht="15" customHeight="1">
      <c r="A915" s="46"/>
      <c r="B915" s="26">
        <v>0.5</v>
      </c>
      <c r="C915" s="26">
        <f t="shared" si="122"/>
        <v>0.25</v>
      </c>
      <c r="D915" s="27" t="s">
        <v>25</v>
      </c>
      <c r="E915" s="27" t="s">
        <v>33</v>
      </c>
      <c r="F915" s="28" t="s">
        <v>34</v>
      </c>
      <c r="G915" s="28" t="s">
        <v>28</v>
      </c>
      <c r="H915" s="28" t="s">
        <v>29</v>
      </c>
      <c r="I915" s="28" t="s">
        <v>293</v>
      </c>
      <c r="J915" s="26">
        <v>2.95</v>
      </c>
      <c r="K915" s="26">
        <v>3.33</v>
      </c>
      <c r="L915" s="26">
        <f t="shared" si="138"/>
        <v>12.881355932203387</v>
      </c>
      <c r="M915" s="29" t="s">
        <v>31</v>
      </c>
      <c r="N915" s="29" t="s">
        <v>31</v>
      </c>
      <c r="O915" s="30" t="e">
        <f t="shared" si="162"/>
        <v>#VALUE!</v>
      </c>
      <c r="P915" s="31" t="s">
        <v>31</v>
      </c>
      <c r="Q915" s="11" t="s">
        <v>31</v>
      </c>
      <c r="R915" s="33" t="e">
        <f t="shared" si="161"/>
        <v>#VALUE!</v>
      </c>
      <c r="S915" s="37">
        <f t="shared" si="154"/>
        <v>1.469822015978163</v>
      </c>
      <c r="T915" s="37">
        <f t="shared" si="155"/>
        <v>2.1099615806386471</v>
      </c>
      <c r="U915" s="42" t="e">
        <f t="shared" si="157"/>
        <v>#VALUE!</v>
      </c>
      <c r="V915" s="41" t="e">
        <f t="shared" si="158"/>
        <v>#VALUE!</v>
      </c>
      <c r="W915" s="43" t="e">
        <f t="shared" si="159"/>
        <v>#VALUE!</v>
      </c>
      <c r="X915" s="43" t="e">
        <f t="shared" si="160"/>
        <v>#VALUE!</v>
      </c>
    </row>
    <row r="916" spans="1:24" ht="15" customHeight="1">
      <c r="A916" s="46"/>
      <c r="B916" s="26">
        <v>1</v>
      </c>
      <c r="C916" s="26">
        <f t="shared" si="122"/>
        <v>0.5</v>
      </c>
      <c r="D916" s="27" t="s">
        <v>25</v>
      </c>
      <c r="E916" s="27" t="s">
        <v>33</v>
      </c>
      <c r="F916" s="28" t="s">
        <v>34</v>
      </c>
      <c r="G916" s="28" t="s">
        <v>28</v>
      </c>
      <c r="H916" s="28" t="s">
        <v>29</v>
      </c>
      <c r="I916" s="28" t="s">
        <v>293</v>
      </c>
      <c r="J916" s="26">
        <v>2.95</v>
      </c>
      <c r="K916" s="26">
        <v>3.51</v>
      </c>
      <c r="L916" s="26">
        <f t="shared" si="138"/>
        <v>18.983050847457612</v>
      </c>
      <c r="M916" s="29" t="s">
        <v>31</v>
      </c>
      <c r="N916" s="29" t="s">
        <v>31</v>
      </c>
      <c r="O916" s="30" t="e">
        <f t="shared" si="162"/>
        <v>#VALUE!</v>
      </c>
      <c r="P916" s="31" t="s">
        <v>31</v>
      </c>
      <c r="Q916" s="11" t="s">
        <v>31</v>
      </c>
      <c r="R916" s="33" t="e">
        <f t="shared" si="161"/>
        <v>#VALUE!</v>
      </c>
      <c r="S916" s="37">
        <f t="shared" si="154"/>
        <v>1.469822015978163</v>
      </c>
      <c r="T916" s="37">
        <f t="shared" si="155"/>
        <v>2.2783660110280373</v>
      </c>
      <c r="U916" s="42" t="e">
        <f t="shared" si="157"/>
        <v>#VALUE!</v>
      </c>
      <c r="V916" s="41" t="e">
        <f t="shared" si="158"/>
        <v>#VALUE!</v>
      </c>
      <c r="W916" s="43" t="e">
        <f t="shared" si="159"/>
        <v>#VALUE!</v>
      </c>
      <c r="X916" s="43" t="e">
        <f t="shared" si="160"/>
        <v>#VALUE!</v>
      </c>
    </row>
    <row r="917" spans="1:24" ht="15" customHeight="1">
      <c r="A917" s="46"/>
      <c r="B917" s="26">
        <v>3</v>
      </c>
      <c r="C917" s="26">
        <f t="shared" si="122"/>
        <v>1.5</v>
      </c>
      <c r="D917" s="27" t="s">
        <v>25</v>
      </c>
      <c r="E917" s="27" t="s">
        <v>33</v>
      </c>
      <c r="F917" s="28" t="s">
        <v>34</v>
      </c>
      <c r="G917" s="28" t="s">
        <v>28</v>
      </c>
      <c r="H917" s="28" t="s">
        <v>29</v>
      </c>
      <c r="I917" s="28" t="s">
        <v>293</v>
      </c>
      <c r="J917" s="26">
        <v>2.95</v>
      </c>
      <c r="K917" s="26">
        <v>3.6</v>
      </c>
      <c r="L917" s="26">
        <f t="shared" si="138"/>
        <v>22.033898305084744</v>
      </c>
      <c r="M917" s="29" t="s">
        <v>31</v>
      </c>
      <c r="N917" s="29" t="s">
        <v>31</v>
      </c>
      <c r="O917" s="30" t="e">
        <f t="shared" si="162"/>
        <v>#VALUE!</v>
      </c>
      <c r="P917" s="31" t="s">
        <v>31</v>
      </c>
      <c r="Q917" s="11" t="s">
        <v>31</v>
      </c>
      <c r="R917" s="33" t="e">
        <f t="shared" si="161"/>
        <v>#VALUE!</v>
      </c>
      <c r="S917" s="37">
        <f t="shared" si="154"/>
        <v>1.469822015978163</v>
      </c>
      <c r="T917" s="37">
        <f t="shared" si="155"/>
        <v>2.3430913406646927</v>
      </c>
      <c r="U917" s="42" t="e">
        <f t="shared" si="157"/>
        <v>#VALUE!</v>
      </c>
      <c r="V917" s="41" t="e">
        <f t="shared" si="158"/>
        <v>#VALUE!</v>
      </c>
      <c r="W917" s="43" t="e">
        <f t="shared" si="159"/>
        <v>#VALUE!</v>
      </c>
      <c r="X917" s="43" t="e">
        <f t="shared" si="160"/>
        <v>#VALUE!</v>
      </c>
    </row>
    <row r="918" spans="1:24" ht="15" customHeight="1">
      <c r="A918" s="47"/>
      <c r="B918" s="26">
        <v>6</v>
      </c>
      <c r="C918" s="26">
        <f t="shared" si="122"/>
        <v>3</v>
      </c>
      <c r="D918" s="27" t="s">
        <v>25</v>
      </c>
      <c r="E918" s="27" t="s">
        <v>33</v>
      </c>
      <c r="F918" s="28" t="s">
        <v>34</v>
      </c>
      <c r="G918" s="28" t="s">
        <v>28</v>
      </c>
      <c r="H918" s="28" t="s">
        <v>29</v>
      </c>
      <c r="I918" s="28" t="s">
        <v>293</v>
      </c>
      <c r="J918" s="26">
        <v>2.95</v>
      </c>
      <c r="K918" s="26">
        <v>3.78</v>
      </c>
      <c r="L918" s="26">
        <f t="shared" si="138"/>
        <v>28.135593220338968</v>
      </c>
      <c r="M918" s="29" t="s">
        <v>31</v>
      </c>
      <c r="N918" s="29" t="s">
        <v>31</v>
      </c>
      <c r="O918" s="30" t="e">
        <f t="shared" si="162"/>
        <v>#VALUE!</v>
      </c>
      <c r="P918" s="31" t="s">
        <v>31</v>
      </c>
      <c r="Q918" s="11" t="s">
        <v>31</v>
      </c>
      <c r="R918" s="33" t="e">
        <f t="shared" si="161"/>
        <v>#VALUE!</v>
      </c>
      <c r="S918" s="37">
        <f t="shared" si="154"/>
        <v>1.469822015978163</v>
      </c>
      <c r="T918" s="37">
        <f t="shared" si="155"/>
        <v>2.4492560763979108</v>
      </c>
      <c r="U918" s="42" t="e">
        <f t="shared" si="157"/>
        <v>#VALUE!</v>
      </c>
      <c r="V918" s="41" t="e">
        <f t="shared" si="158"/>
        <v>#VALUE!</v>
      </c>
      <c r="W918" s="43" t="e">
        <f t="shared" si="159"/>
        <v>#VALUE!</v>
      </c>
      <c r="X918" s="43" t="e">
        <f t="shared" si="160"/>
        <v>#VALUE!</v>
      </c>
    </row>
    <row r="919" spans="1:24" ht="15" customHeight="1">
      <c r="A919" s="45" t="s">
        <v>294</v>
      </c>
      <c r="B919" s="26">
        <v>1</v>
      </c>
      <c r="C919" s="26">
        <f t="shared" si="122"/>
        <v>0.5</v>
      </c>
      <c r="D919" s="27" t="s">
        <v>42</v>
      </c>
      <c r="E919" s="27" t="s">
        <v>43</v>
      </c>
      <c r="F919" s="28" t="s">
        <v>112</v>
      </c>
      <c r="G919" s="28" t="s">
        <v>38</v>
      </c>
      <c r="H919" s="28" t="s">
        <v>29</v>
      </c>
      <c r="I919" s="28" t="s">
        <v>46</v>
      </c>
      <c r="J919" s="26">
        <v>2.6</v>
      </c>
      <c r="K919" s="26">
        <v>2.7</v>
      </c>
      <c r="L919" s="26">
        <f t="shared" si="138"/>
        <v>3.8461538461538494</v>
      </c>
      <c r="M919" s="29">
        <v>126</v>
      </c>
      <c r="N919" s="29">
        <v>130</v>
      </c>
      <c r="O919" s="30">
        <f t="shared" si="162"/>
        <v>3.1746031746031744</v>
      </c>
      <c r="P919" s="31">
        <v>7.0000000000000007E-2</v>
      </c>
      <c r="Q919" s="11">
        <v>6.5000000000000002E-2</v>
      </c>
      <c r="R919" s="33">
        <f t="shared" si="161"/>
        <v>-7.1428571428571477</v>
      </c>
      <c r="S919" s="37">
        <f t="shared" si="154"/>
        <v>1.414973347970818</v>
      </c>
      <c r="T919" s="37">
        <f t="shared" si="155"/>
        <v>1.5850266520291825</v>
      </c>
      <c r="U919" s="42">
        <f t="shared" si="157"/>
        <v>3.1003705451175629</v>
      </c>
      <c r="V919" s="41">
        <f t="shared" si="158"/>
        <v>1.5016894462103993</v>
      </c>
      <c r="W919" s="43">
        <f t="shared" si="159"/>
        <v>-0.15490195998574313</v>
      </c>
      <c r="X919" s="43" t="e">
        <f t="shared" si="160"/>
        <v>#NUM!</v>
      </c>
    </row>
    <row r="920" spans="1:24" ht="15" customHeight="1">
      <c r="A920" s="46"/>
      <c r="B920" s="26">
        <v>2</v>
      </c>
      <c r="C920" s="26">
        <f t="shared" si="122"/>
        <v>1</v>
      </c>
      <c r="D920" s="27" t="s">
        <v>42</v>
      </c>
      <c r="E920" s="27" t="s">
        <v>43</v>
      </c>
      <c r="F920" s="28" t="s">
        <v>112</v>
      </c>
      <c r="G920" s="28" t="s">
        <v>38</v>
      </c>
      <c r="H920" s="28" t="s">
        <v>29</v>
      </c>
      <c r="I920" s="28" t="s">
        <v>46</v>
      </c>
      <c r="J920" s="26">
        <v>2.6</v>
      </c>
      <c r="K920" s="26">
        <v>2.8</v>
      </c>
      <c r="L920" s="26">
        <f t="shared" si="138"/>
        <v>7.6923076923076819</v>
      </c>
      <c r="M920" s="29">
        <v>126</v>
      </c>
      <c r="N920" s="29">
        <v>133</v>
      </c>
      <c r="O920" s="30">
        <f t="shared" si="162"/>
        <v>5.5555555555555554</v>
      </c>
      <c r="P920" s="31">
        <v>7.0000000000000007E-2</v>
      </c>
      <c r="Q920" s="11">
        <v>6.5000000000000002E-2</v>
      </c>
      <c r="R920" s="33">
        <f t="shared" si="161"/>
        <v>-7.1428571428571477</v>
      </c>
      <c r="S920" s="37">
        <f t="shared" si="154"/>
        <v>1.414973347970818</v>
      </c>
      <c r="T920" s="37">
        <f t="shared" si="155"/>
        <v>1.8860566476931626</v>
      </c>
      <c r="U920" s="42">
        <f t="shared" si="157"/>
        <v>3.1003705451175629</v>
      </c>
      <c r="V920" s="41">
        <f t="shared" si="158"/>
        <v>1.744727494896694</v>
      </c>
      <c r="W920" s="43">
        <f t="shared" si="159"/>
        <v>-0.15490195998574313</v>
      </c>
      <c r="X920" s="43" t="e">
        <f t="shared" si="160"/>
        <v>#NUM!</v>
      </c>
    </row>
    <row r="921" spans="1:24" ht="15" customHeight="1">
      <c r="A921" s="46"/>
      <c r="B921" s="26">
        <v>3</v>
      </c>
      <c r="C921" s="26">
        <f t="shared" si="122"/>
        <v>1.5</v>
      </c>
      <c r="D921" s="27" t="s">
        <v>42</v>
      </c>
      <c r="E921" s="27" t="s">
        <v>43</v>
      </c>
      <c r="F921" s="28" t="s">
        <v>112</v>
      </c>
      <c r="G921" s="28" t="s">
        <v>38</v>
      </c>
      <c r="H921" s="28" t="s">
        <v>29</v>
      </c>
      <c r="I921" s="28" t="s">
        <v>46</v>
      </c>
      <c r="J921" s="26">
        <v>2.6</v>
      </c>
      <c r="K921" s="26">
        <v>3</v>
      </c>
      <c r="L921" s="26">
        <f t="shared" si="138"/>
        <v>15.38461538461538</v>
      </c>
      <c r="M921" s="29">
        <v>126</v>
      </c>
      <c r="N921" s="29">
        <v>135</v>
      </c>
      <c r="O921" s="30">
        <f t="shared" si="162"/>
        <v>7.1428571428571423</v>
      </c>
      <c r="P921" s="31">
        <v>7.0000000000000007E-2</v>
      </c>
      <c r="Q921" s="11">
        <v>6.5000000000000002E-2</v>
      </c>
      <c r="R921" s="33">
        <f t="shared" si="161"/>
        <v>-7.1428571428571477</v>
      </c>
      <c r="S921" s="37">
        <f t="shared" si="154"/>
        <v>1.414973347970818</v>
      </c>
      <c r="T921" s="37">
        <f t="shared" si="155"/>
        <v>2.1870866433571443</v>
      </c>
      <c r="U921" s="42">
        <f t="shared" si="157"/>
        <v>3.1003705451175629</v>
      </c>
      <c r="V921" s="41">
        <f t="shared" si="158"/>
        <v>1.8538719643217618</v>
      </c>
      <c r="W921" s="43">
        <f t="shared" si="159"/>
        <v>-0.15490195998574313</v>
      </c>
      <c r="X921" s="43" t="e">
        <f t="shared" si="160"/>
        <v>#NUM!</v>
      </c>
    </row>
    <row r="922" spans="1:24" ht="15" customHeight="1">
      <c r="A922" s="46"/>
      <c r="B922" s="26">
        <v>5</v>
      </c>
      <c r="C922" s="26">
        <f t="shared" si="122"/>
        <v>2.5</v>
      </c>
      <c r="D922" s="27" t="s">
        <v>42</v>
      </c>
      <c r="E922" s="27" t="s">
        <v>43</v>
      </c>
      <c r="F922" s="28" t="s">
        <v>112</v>
      </c>
      <c r="G922" s="28" t="s">
        <v>38</v>
      </c>
      <c r="H922" s="28" t="s">
        <v>29</v>
      </c>
      <c r="I922" s="28" t="s">
        <v>46</v>
      </c>
      <c r="J922" s="26">
        <v>2.6</v>
      </c>
      <c r="K922" s="26">
        <v>3.2</v>
      </c>
      <c r="L922" s="26">
        <f t="shared" si="138"/>
        <v>23.076923076923077</v>
      </c>
      <c r="M922" s="29">
        <v>126</v>
      </c>
      <c r="N922" s="29">
        <v>140</v>
      </c>
      <c r="O922" s="30">
        <f t="shared" si="162"/>
        <v>11.111111111111111</v>
      </c>
      <c r="P922" s="31">
        <v>7.0000000000000007E-2</v>
      </c>
      <c r="Q922" s="11">
        <v>0.06</v>
      </c>
      <c r="R922" s="33">
        <f t="shared" si="161"/>
        <v>-14.285714285714295</v>
      </c>
      <c r="S922" s="37">
        <f t="shared" si="154"/>
        <v>1.414973347970818</v>
      </c>
      <c r="T922" s="37">
        <f t="shared" si="155"/>
        <v>2.3631779024128257</v>
      </c>
      <c r="U922" s="42">
        <f t="shared" si="157"/>
        <v>3.1003705451175629</v>
      </c>
      <c r="V922" s="41">
        <f t="shared" si="158"/>
        <v>2.0457574905606752</v>
      </c>
      <c r="W922" s="43">
        <f t="shared" si="159"/>
        <v>-0.15490195998574313</v>
      </c>
      <c r="X922" s="43" t="e">
        <f t="shared" si="160"/>
        <v>#NUM!</v>
      </c>
    </row>
    <row r="923" spans="1:24" ht="15" customHeight="1">
      <c r="A923" s="46"/>
      <c r="B923" s="26">
        <v>10</v>
      </c>
      <c r="C923" s="26">
        <f t="shared" si="122"/>
        <v>5</v>
      </c>
      <c r="D923" s="27" t="s">
        <v>42</v>
      </c>
      <c r="E923" s="27" t="s">
        <v>43</v>
      </c>
      <c r="F923" s="28" t="s">
        <v>112</v>
      </c>
      <c r="G923" s="28" t="s">
        <v>38</v>
      </c>
      <c r="H923" s="28" t="s">
        <v>29</v>
      </c>
      <c r="I923" s="28" t="s">
        <v>46</v>
      </c>
      <c r="J923" s="26">
        <v>2.6</v>
      </c>
      <c r="K923" s="26">
        <v>3.6</v>
      </c>
      <c r="L923" s="26">
        <f t="shared" si="138"/>
        <v>38.46153846153846</v>
      </c>
      <c r="M923" s="29">
        <v>126</v>
      </c>
      <c r="N923" s="29">
        <v>145</v>
      </c>
      <c r="O923" s="30">
        <f t="shared" si="162"/>
        <v>15.079365079365079</v>
      </c>
      <c r="P923" s="31">
        <v>7.0000000000000007E-2</v>
      </c>
      <c r="Q923" s="11">
        <v>6.5000000000000002E-2</v>
      </c>
      <c r="R923" s="33">
        <f t="shared" si="161"/>
        <v>-7.1428571428571477</v>
      </c>
      <c r="S923" s="37">
        <f t="shared" si="154"/>
        <v>1.414973347970818</v>
      </c>
      <c r="T923" s="37">
        <f t="shared" si="155"/>
        <v>2.5850266520291818</v>
      </c>
      <c r="U923" s="42">
        <f t="shared" si="157"/>
        <v>3.1003705451175629</v>
      </c>
      <c r="V923" s="41">
        <f t="shared" si="158"/>
        <v>2.1783830558352659</v>
      </c>
      <c r="W923" s="43">
        <f t="shared" si="159"/>
        <v>-0.15490195998574313</v>
      </c>
      <c r="X923" s="43" t="e">
        <f t="shared" si="160"/>
        <v>#NUM!</v>
      </c>
    </row>
    <row r="924" spans="1:24" ht="15" customHeight="1">
      <c r="A924" s="46"/>
      <c r="B924" s="26">
        <v>1</v>
      </c>
      <c r="C924" s="26">
        <f t="shared" si="122"/>
        <v>0.5</v>
      </c>
      <c r="D924" s="27" t="s">
        <v>42</v>
      </c>
      <c r="E924" s="27" t="s">
        <v>43</v>
      </c>
      <c r="F924" s="28" t="s">
        <v>34</v>
      </c>
      <c r="G924" s="28" t="s">
        <v>38</v>
      </c>
      <c r="H924" s="28" t="s">
        <v>29</v>
      </c>
      <c r="I924" s="28" t="s">
        <v>46</v>
      </c>
      <c r="J924" s="26">
        <v>2.6</v>
      </c>
      <c r="K924" s="26">
        <v>2.65</v>
      </c>
      <c r="L924" s="26">
        <f t="shared" si="138"/>
        <v>1.9230769230769162</v>
      </c>
      <c r="M924" s="29">
        <v>126</v>
      </c>
      <c r="N924" s="29">
        <v>128</v>
      </c>
      <c r="O924" s="30">
        <f t="shared" si="162"/>
        <v>1.5873015873015872</v>
      </c>
      <c r="P924" s="31">
        <v>7.0000000000000007E-2</v>
      </c>
      <c r="Q924" s="11">
        <v>7.4999999999999997E-2</v>
      </c>
      <c r="R924" s="33">
        <f t="shared" si="161"/>
        <v>7.1428571428571281</v>
      </c>
      <c r="S924" s="37">
        <f t="shared" si="154"/>
        <v>1.414973347970818</v>
      </c>
      <c r="T924" s="37">
        <f t="shared" si="155"/>
        <v>1.2839966563651992</v>
      </c>
      <c r="U924" s="42">
        <f t="shared" si="157"/>
        <v>3.1003705451175629</v>
      </c>
      <c r="V924" s="41">
        <f t="shared" si="158"/>
        <v>1.2006594505464183</v>
      </c>
      <c r="W924" s="43">
        <f t="shared" si="159"/>
        <v>-0.15490195998574313</v>
      </c>
      <c r="X924" s="43">
        <f t="shared" si="160"/>
        <v>1.8538719643217609</v>
      </c>
    </row>
    <row r="925" spans="1:24" ht="15" customHeight="1">
      <c r="A925" s="46" t="s">
        <v>295</v>
      </c>
      <c r="B925" s="26">
        <v>2</v>
      </c>
      <c r="C925" s="26">
        <f t="shared" si="122"/>
        <v>1</v>
      </c>
      <c r="D925" s="27" t="s">
        <v>42</v>
      </c>
      <c r="E925" s="27" t="s">
        <v>43</v>
      </c>
      <c r="F925" s="28" t="s">
        <v>34</v>
      </c>
      <c r="G925" s="28" t="s">
        <v>38</v>
      </c>
      <c r="H925" s="28" t="s">
        <v>29</v>
      </c>
      <c r="I925" s="28" t="s">
        <v>46</v>
      </c>
      <c r="J925" s="26">
        <v>2.6</v>
      </c>
      <c r="K925" s="26">
        <v>2.7</v>
      </c>
      <c r="L925" s="26">
        <f t="shared" si="138"/>
        <v>3.8461538461538494</v>
      </c>
      <c r="M925" s="29">
        <v>126</v>
      </c>
      <c r="N925" s="29">
        <v>130</v>
      </c>
      <c r="O925" s="30">
        <f t="shared" si="162"/>
        <v>3.1746031746031744</v>
      </c>
      <c r="P925" s="31">
        <v>7.0000000000000007E-2</v>
      </c>
      <c r="Q925" s="11">
        <v>7.0000000000000007E-2</v>
      </c>
      <c r="R925" s="33">
        <f t="shared" si="161"/>
        <v>0</v>
      </c>
      <c r="S925" s="37">
        <f t="shared" si="154"/>
        <v>1.414973347970818</v>
      </c>
      <c r="T925" s="37">
        <f t="shared" si="155"/>
        <v>1.5850266520291825</v>
      </c>
      <c r="U925" s="42">
        <f t="shared" si="157"/>
        <v>3.1003705451175629</v>
      </c>
      <c r="V925" s="41">
        <f t="shared" si="158"/>
        <v>1.5016894462103993</v>
      </c>
      <c r="W925" s="43">
        <f t="shared" si="159"/>
        <v>-0.15490195998574313</v>
      </c>
      <c r="X925" s="43" t="e">
        <f t="shared" si="160"/>
        <v>#NUM!</v>
      </c>
    </row>
    <row r="926" spans="1:24" ht="15" customHeight="1">
      <c r="A926" s="46"/>
      <c r="B926" s="26">
        <v>3</v>
      </c>
      <c r="C926" s="26">
        <f t="shared" si="122"/>
        <v>1.5</v>
      </c>
      <c r="D926" s="27" t="s">
        <v>42</v>
      </c>
      <c r="E926" s="27" t="s">
        <v>43</v>
      </c>
      <c r="F926" s="28" t="s">
        <v>34</v>
      </c>
      <c r="G926" s="28" t="s">
        <v>38</v>
      </c>
      <c r="H926" s="28" t="s">
        <v>29</v>
      </c>
      <c r="I926" s="28" t="s">
        <v>46</v>
      </c>
      <c r="J926" s="26">
        <v>2.6</v>
      </c>
      <c r="K926" s="26">
        <v>2.9</v>
      </c>
      <c r="L926" s="26">
        <f t="shared" si="138"/>
        <v>11.538461538461531</v>
      </c>
      <c r="M926" s="29">
        <v>126</v>
      </c>
      <c r="N926" s="29">
        <v>132</v>
      </c>
      <c r="O926" s="30">
        <f t="shared" si="162"/>
        <v>4.7619047619047619</v>
      </c>
      <c r="P926" s="31">
        <v>7.0000000000000007E-2</v>
      </c>
      <c r="Q926" s="11">
        <v>7.0000000000000007E-2</v>
      </c>
      <c r="R926" s="33">
        <f t="shared" si="161"/>
        <v>0</v>
      </c>
      <c r="S926" s="37">
        <f t="shared" si="154"/>
        <v>1.414973347970818</v>
      </c>
      <c r="T926" s="37">
        <f t="shared" si="155"/>
        <v>2.0621479067488444</v>
      </c>
      <c r="U926" s="42">
        <f t="shared" si="157"/>
        <v>3.1003705451175629</v>
      </c>
      <c r="V926" s="41">
        <f t="shared" si="158"/>
        <v>1.6777807052660807</v>
      </c>
      <c r="W926" s="43">
        <f t="shared" si="159"/>
        <v>-0.15490195998574313</v>
      </c>
      <c r="X926" s="43" t="e">
        <f t="shared" si="160"/>
        <v>#NUM!</v>
      </c>
    </row>
    <row r="927" spans="1:24" ht="15" customHeight="1">
      <c r="A927" s="46"/>
      <c r="B927" s="26">
        <v>5</v>
      </c>
      <c r="C927" s="26">
        <f t="shared" si="122"/>
        <v>2.5</v>
      </c>
      <c r="D927" s="27" t="s">
        <v>42</v>
      </c>
      <c r="E927" s="27" t="s">
        <v>43</v>
      </c>
      <c r="F927" s="28" t="s">
        <v>34</v>
      </c>
      <c r="G927" s="28" t="s">
        <v>38</v>
      </c>
      <c r="H927" s="28" t="s">
        <v>29</v>
      </c>
      <c r="I927" s="28" t="s">
        <v>46</v>
      </c>
      <c r="J927" s="26">
        <v>2.6</v>
      </c>
      <c r="K927" s="26">
        <v>3.1</v>
      </c>
      <c r="L927" s="26">
        <f t="shared" si="138"/>
        <v>19.23076923076923</v>
      </c>
      <c r="M927" s="29">
        <v>126</v>
      </c>
      <c r="N927" s="29">
        <v>138</v>
      </c>
      <c r="O927" s="30">
        <f t="shared" si="162"/>
        <v>9.5238095238095237</v>
      </c>
      <c r="P927" s="31">
        <v>7.0000000000000007E-2</v>
      </c>
      <c r="Q927" s="11">
        <v>6.8000000000000005E-2</v>
      </c>
      <c r="R927" s="33">
        <f t="shared" si="161"/>
        <v>-2.8571428571428594</v>
      </c>
      <c r="S927" s="37">
        <f t="shared" si="154"/>
        <v>1.414973347970818</v>
      </c>
      <c r="T927" s="37">
        <f t="shared" si="155"/>
        <v>2.283996656365201</v>
      </c>
      <c r="U927" s="42">
        <f t="shared" si="157"/>
        <v>3.1003705451175629</v>
      </c>
      <c r="V927" s="41">
        <f t="shared" si="158"/>
        <v>1.9788107009300619</v>
      </c>
      <c r="W927" s="43">
        <f t="shared" si="159"/>
        <v>-0.15490195998574313</v>
      </c>
      <c r="X927" s="43" t="e">
        <f t="shared" si="160"/>
        <v>#NUM!</v>
      </c>
    </row>
    <row r="928" spans="1:24" ht="15" customHeight="1">
      <c r="A928" s="47"/>
      <c r="B928" s="26">
        <v>10</v>
      </c>
      <c r="C928" s="26">
        <f t="shared" si="122"/>
        <v>5</v>
      </c>
      <c r="D928" s="27" t="s">
        <v>42</v>
      </c>
      <c r="E928" s="27" t="s">
        <v>43</v>
      </c>
      <c r="F928" s="28" t="s">
        <v>34</v>
      </c>
      <c r="G928" s="28" t="s">
        <v>38</v>
      </c>
      <c r="H928" s="28" t="s">
        <v>29</v>
      </c>
      <c r="I928" s="28" t="s">
        <v>46</v>
      </c>
      <c r="J928" s="26">
        <v>2.6</v>
      </c>
      <c r="K928" s="26">
        <v>3.5</v>
      </c>
      <c r="L928" s="26">
        <f t="shared" si="138"/>
        <v>34.615384615384606</v>
      </c>
      <c r="M928" s="29">
        <v>126</v>
      </c>
      <c r="N928" s="29">
        <v>145</v>
      </c>
      <c r="O928" s="30">
        <f t="shared" si="162"/>
        <v>15.079365079365079</v>
      </c>
      <c r="P928" s="31">
        <v>7.0000000000000007E-2</v>
      </c>
      <c r="Q928" s="11">
        <v>5.5E-2</v>
      </c>
      <c r="R928" s="33">
        <f t="shared" si="161"/>
        <v>-21.428571428571434</v>
      </c>
      <c r="S928" s="37">
        <f t="shared" si="154"/>
        <v>1.414973347970818</v>
      </c>
      <c r="T928" s="37">
        <f t="shared" si="155"/>
        <v>2.539269161468507</v>
      </c>
      <c r="U928" s="42">
        <f t="shared" si="157"/>
        <v>3.1003705451175629</v>
      </c>
      <c r="V928" s="41">
        <f t="shared" si="158"/>
        <v>2.1783830558352659</v>
      </c>
      <c r="W928" s="43">
        <f t="shared" si="159"/>
        <v>-0.15490195998574313</v>
      </c>
      <c r="X928" s="43" t="e">
        <f t="shared" si="160"/>
        <v>#NUM!</v>
      </c>
    </row>
    <row r="929" spans="1:24" ht="15" customHeight="1">
      <c r="A929" s="45" t="s">
        <v>296</v>
      </c>
      <c r="B929" s="26">
        <v>1.6</v>
      </c>
      <c r="C929" s="26">
        <f t="shared" si="122"/>
        <v>0.8</v>
      </c>
      <c r="D929" s="27" t="s">
        <v>25</v>
      </c>
      <c r="E929" s="27" t="s">
        <v>107</v>
      </c>
      <c r="F929" s="28" t="s">
        <v>34</v>
      </c>
      <c r="G929" s="28" t="s">
        <v>28</v>
      </c>
      <c r="H929" s="28" t="s">
        <v>29</v>
      </c>
      <c r="I929" s="28" t="s">
        <v>36</v>
      </c>
      <c r="J929" s="26">
        <v>2.75</v>
      </c>
      <c r="K929" s="26">
        <v>3.49</v>
      </c>
      <c r="L929" s="26">
        <f t="shared" si="138"/>
        <v>26.909090909090917</v>
      </c>
      <c r="M929" s="29">
        <v>69.7</v>
      </c>
      <c r="N929" s="29">
        <v>80.400000000000006</v>
      </c>
      <c r="O929" s="30">
        <f t="shared" si="162"/>
        <v>15.351506456241037</v>
      </c>
      <c r="P929" s="31">
        <v>3.04</v>
      </c>
      <c r="Q929" s="11">
        <v>1.89</v>
      </c>
      <c r="R929" s="33">
        <f t="shared" si="161"/>
        <v>-37.828947368421055</v>
      </c>
      <c r="S929" s="37">
        <f t="shared" si="154"/>
        <v>1.4393326938302626</v>
      </c>
      <c r="T929" s="37">
        <f t="shared" ref="T929:T936" si="163">LOG10(L929*10)</f>
        <v>2.4298990259007138</v>
      </c>
      <c r="U929" s="42">
        <f t="shared" si="157"/>
        <v>2.8432327780980096</v>
      </c>
      <c r="V929" s="41">
        <f t="shared" si="158"/>
        <v>2.1861509995872002</v>
      </c>
      <c r="W929" s="43">
        <f t="shared" si="159"/>
        <v>1.4828735836087537</v>
      </c>
      <c r="X929" s="43" t="e">
        <f t="shared" si="160"/>
        <v>#NUM!</v>
      </c>
    </row>
    <row r="930" spans="1:24" ht="15" customHeight="1">
      <c r="A930" s="46"/>
      <c r="B930" s="26">
        <v>3.2</v>
      </c>
      <c r="C930" s="26">
        <f t="shared" si="122"/>
        <v>1.6</v>
      </c>
      <c r="D930" s="27" t="s">
        <v>25</v>
      </c>
      <c r="E930" s="27" t="s">
        <v>107</v>
      </c>
      <c r="F930" s="28" t="s">
        <v>34</v>
      </c>
      <c r="G930" s="28" t="s">
        <v>28</v>
      </c>
      <c r="H930" s="28" t="s">
        <v>29</v>
      </c>
      <c r="I930" s="28" t="s">
        <v>36</v>
      </c>
      <c r="J930" s="26">
        <v>2.75</v>
      </c>
      <c r="K930" s="26">
        <v>3.92</v>
      </c>
      <c r="L930" s="26">
        <f t="shared" si="138"/>
        <v>42.54545454545454</v>
      </c>
      <c r="M930" s="29">
        <v>69.7</v>
      </c>
      <c r="N930" s="29">
        <v>84.9</v>
      </c>
      <c r="O930" s="30">
        <f t="shared" si="162"/>
        <v>21.807747489239603</v>
      </c>
      <c r="P930" s="31">
        <v>3.04</v>
      </c>
      <c r="Q930" s="11">
        <v>1.19</v>
      </c>
      <c r="R930" s="33">
        <f t="shared" si="161"/>
        <v>-60.855263157894733</v>
      </c>
      <c r="S930" s="37">
        <f t="shared" si="154"/>
        <v>1.4393326938302626</v>
      </c>
      <c r="T930" s="37">
        <f t="shared" si="163"/>
        <v>2.6288531679158988</v>
      </c>
      <c r="U930" s="42">
        <f t="shared" si="157"/>
        <v>2.8432327780980096</v>
      </c>
      <c r="V930" s="41">
        <f t="shared" si="158"/>
        <v>2.3386108098467631</v>
      </c>
      <c r="W930" s="43">
        <f t="shared" si="159"/>
        <v>1.4828735836087537</v>
      </c>
      <c r="X930" s="43" t="e">
        <f t="shared" si="160"/>
        <v>#NUM!</v>
      </c>
    </row>
    <row r="931" spans="1:24" ht="15" customHeight="1">
      <c r="A931" s="46"/>
      <c r="B931" s="26">
        <v>4.5999999999999996</v>
      </c>
      <c r="C931" s="26">
        <f t="shared" si="122"/>
        <v>2.2999999999999998</v>
      </c>
      <c r="D931" s="27" t="s">
        <v>25</v>
      </c>
      <c r="E931" s="27" t="s">
        <v>107</v>
      </c>
      <c r="F931" s="28" t="s">
        <v>34</v>
      </c>
      <c r="G931" s="28" t="s">
        <v>28</v>
      </c>
      <c r="H931" s="28" t="s">
        <v>29</v>
      </c>
      <c r="I931" s="28" t="s">
        <v>36</v>
      </c>
      <c r="J931" s="26">
        <v>2.75</v>
      </c>
      <c r="K931" s="26">
        <v>4.59</v>
      </c>
      <c r="L931" s="26">
        <f t="shared" si="138"/>
        <v>66.909090909090907</v>
      </c>
      <c r="M931" s="29">
        <v>69.7</v>
      </c>
      <c r="N931" s="29">
        <v>91.3</v>
      </c>
      <c r="O931" s="30">
        <f t="shared" si="162"/>
        <v>30.989956958393105</v>
      </c>
      <c r="P931" s="31">
        <v>3.04</v>
      </c>
      <c r="Q931" s="11">
        <v>0.39</v>
      </c>
      <c r="R931" s="33">
        <f t="shared" si="161"/>
        <v>-87.171052631578931</v>
      </c>
      <c r="S931" s="37">
        <f t="shared" si="154"/>
        <v>1.4393326938302626</v>
      </c>
      <c r="T931" s="37">
        <f t="shared" si="163"/>
        <v>2.825485129179274</v>
      </c>
      <c r="U931" s="42">
        <f t="shared" si="157"/>
        <v>2.8432327780980096</v>
      </c>
      <c r="V931" s="41">
        <f t="shared" si="158"/>
        <v>2.4912209730529216</v>
      </c>
      <c r="W931" s="43">
        <f t="shared" si="159"/>
        <v>1.4828735836087537</v>
      </c>
      <c r="X931" s="43" t="e">
        <f t="shared" si="160"/>
        <v>#NUM!</v>
      </c>
    </row>
    <row r="932" spans="1:24" ht="15" customHeight="1">
      <c r="A932" s="46"/>
      <c r="B932" s="26">
        <v>7.2</v>
      </c>
      <c r="C932" s="26">
        <f t="shared" si="122"/>
        <v>3.6</v>
      </c>
      <c r="D932" s="27" t="s">
        <v>25</v>
      </c>
      <c r="E932" s="27" t="s">
        <v>107</v>
      </c>
      <c r="F932" s="28" t="s">
        <v>34</v>
      </c>
      <c r="G932" s="28" t="s">
        <v>28</v>
      </c>
      <c r="H932" s="28" t="s">
        <v>29</v>
      </c>
      <c r="I932" s="28" t="s">
        <v>36</v>
      </c>
      <c r="J932" s="26">
        <v>2.75</v>
      </c>
      <c r="K932" s="26">
        <v>5.7</v>
      </c>
      <c r="L932" s="26">
        <f t="shared" si="138"/>
        <v>107.27272727272728</v>
      </c>
      <c r="M932" s="29">
        <v>69.7</v>
      </c>
      <c r="N932" s="29">
        <v>97.6</v>
      </c>
      <c r="O932" s="30">
        <f t="shared" si="162"/>
        <v>40.028694404591093</v>
      </c>
      <c r="P932" s="31">
        <v>3.04</v>
      </c>
      <c r="Q932" s="11">
        <v>0.04</v>
      </c>
      <c r="R932" s="33">
        <f t="shared" si="161"/>
        <v>-98.68421052631578</v>
      </c>
      <c r="S932" s="37">
        <f t="shared" si="154"/>
        <v>1.4393326938302626</v>
      </c>
      <c r="T932" s="37">
        <f t="shared" si="163"/>
        <v>3.0304893221479006</v>
      </c>
      <c r="U932" s="42">
        <f t="shared" si="157"/>
        <v>2.8432327780980096</v>
      </c>
      <c r="V932" s="41">
        <f t="shared" si="158"/>
        <v>2.6023714251755878</v>
      </c>
      <c r="W932" s="43">
        <f t="shared" si="159"/>
        <v>1.4828735836087537</v>
      </c>
      <c r="X932" s="43" t="e">
        <f t="shared" si="160"/>
        <v>#NUM!</v>
      </c>
    </row>
    <row r="933" spans="1:24" ht="15" customHeight="1">
      <c r="A933" s="46" t="s">
        <v>295</v>
      </c>
      <c r="B933" s="26">
        <v>1</v>
      </c>
      <c r="C933" s="26">
        <f t="shared" si="122"/>
        <v>0.5</v>
      </c>
      <c r="D933" s="27" t="s">
        <v>25</v>
      </c>
      <c r="E933" s="27" t="s">
        <v>107</v>
      </c>
      <c r="F933" s="28" t="s">
        <v>34</v>
      </c>
      <c r="G933" s="28" t="s">
        <v>28</v>
      </c>
      <c r="H933" s="28" t="s">
        <v>29</v>
      </c>
      <c r="I933" s="28" t="s">
        <v>36</v>
      </c>
      <c r="J933" s="26">
        <v>2.75</v>
      </c>
      <c r="K933" s="26">
        <v>3.27</v>
      </c>
      <c r="L933" s="26">
        <f t="shared" si="138"/>
        <v>18.90909090909091</v>
      </c>
      <c r="M933" s="29">
        <v>69.7</v>
      </c>
      <c r="N933" s="29">
        <v>82.3</v>
      </c>
      <c r="O933" s="30">
        <f t="shared" si="162"/>
        <v>18.077474892395973</v>
      </c>
      <c r="P933" s="31">
        <v>3.04</v>
      </c>
      <c r="Q933" s="11">
        <v>2.23</v>
      </c>
      <c r="R933" s="33">
        <f t="shared" si="161"/>
        <v>-26.644736842105267</v>
      </c>
      <c r="S933" s="37">
        <f t="shared" si="154"/>
        <v>1.4393326938302626</v>
      </c>
      <c r="T933" s="37">
        <f t="shared" si="163"/>
        <v>2.2766706498045366</v>
      </c>
      <c r="U933" s="42">
        <f t="shared" si="157"/>
        <v>2.8432327780980096</v>
      </c>
      <c r="V933" s="41">
        <f t="shared" si="158"/>
        <v>2.2571377670195534</v>
      </c>
      <c r="W933" s="43">
        <f t="shared" si="159"/>
        <v>1.4828735836087537</v>
      </c>
      <c r="X933" s="43" t="e">
        <f t="shared" si="160"/>
        <v>#NUM!</v>
      </c>
    </row>
    <row r="934" spans="1:24" ht="15" customHeight="1">
      <c r="A934" s="46"/>
      <c r="B934" s="26">
        <v>2.6</v>
      </c>
      <c r="C934" s="26">
        <f t="shared" si="122"/>
        <v>1.3</v>
      </c>
      <c r="D934" s="27" t="s">
        <v>25</v>
      </c>
      <c r="E934" s="27" t="s">
        <v>107</v>
      </c>
      <c r="F934" s="28" t="s">
        <v>34</v>
      </c>
      <c r="G934" s="28" t="s">
        <v>28</v>
      </c>
      <c r="H934" s="28" t="s">
        <v>29</v>
      </c>
      <c r="I934" s="28" t="s">
        <v>36</v>
      </c>
      <c r="J934" s="26">
        <v>2.75</v>
      </c>
      <c r="K934" s="26">
        <v>3.94</v>
      </c>
      <c r="L934" s="26">
        <f t="shared" si="138"/>
        <v>43.272727272727266</v>
      </c>
      <c r="M934" s="29">
        <v>69.7</v>
      </c>
      <c r="N934" s="29">
        <v>87.5</v>
      </c>
      <c r="O934" s="30">
        <f t="shared" si="162"/>
        <v>25.538020086083208</v>
      </c>
      <c r="P934" s="31">
        <v>3.04</v>
      </c>
      <c r="Q934" s="11">
        <v>1.48</v>
      </c>
      <c r="R934" s="33">
        <f t="shared" si="161"/>
        <v>-51.315789473684212</v>
      </c>
      <c r="S934" s="37">
        <f t="shared" si="154"/>
        <v>1.4393326938302626</v>
      </c>
      <c r="T934" s="37">
        <f t="shared" si="163"/>
        <v>2.6362142675622682</v>
      </c>
      <c r="U934" s="42">
        <f t="shared" si="157"/>
        <v>2.8432327780980096</v>
      </c>
      <c r="V934" s="41">
        <f t="shared" si="158"/>
        <v>2.4071872242108845</v>
      </c>
      <c r="W934" s="43">
        <f t="shared" si="159"/>
        <v>1.4828735836087537</v>
      </c>
      <c r="X934" s="43" t="e">
        <f t="shared" si="160"/>
        <v>#NUM!</v>
      </c>
    </row>
    <row r="935" spans="1:24" ht="15" customHeight="1">
      <c r="A935" s="46"/>
      <c r="B935" s="26">
        <v>4.0999999999999996</v>
      </c>
      <c r="C935" s="26">
        <f t="shared" si="122"/>
        <v>2.0499999999999998</v>
      </c>
      <c r="D935" s="27" t="s">
        <v>25</v>
      </c>
      <c r="E935" s="27" t="s">
        <v>107</v>
      </c>
      <c r="F935" s="28" t="s">
        <v>34</v>
      </c>
      <c r="G935" s="28" t="s">
        <v>28</v>
      </c>
      <c r="H935" s="28" t="s">
        <v>29</v>
      </c>
      <c r="I935" s="28" t="s">
        <v>36</v>
      </c>
      <c r="J935" s="26">
        <v>2.75</v>
      </c>
      <c r="K935" s="26">
        <v>4.45</v>
      </c>
      <c r="L935" s="26">
        <f t="shared" si="138"/>
        <v>61.818181818181827</v>
      </c>
      <c r="M935" s="29">
        <v>69.7</v>
      </c>
      <c r="N935" s="29">
        <v>92.7</v>
      </c>
      <c r="O935" s="30">
        <f t="shared" si="162"/>
        <v>32.998565279770439</v>
      </c>
      <c r="P935" s="31">
        <v>3.04</v>
      </c>
      <c r="Q935" s="11">
        <v>0.31</v>
      </c>
      <c r="R935" s="33">
        <f t="shared" si="161"/>
        <v>-89.80263157894737</v>
      </c>
      <c r="S935" s="37">
        <f t="shared" si="154"/>
        <v>1.4393326938302626</v>
      </c>
      <c r="T935" s="37">
        <f t="shared" si="163"/>
        <v>2.7911162275480113</v>
      </c>
      <c r="U935" s="42">
        <f t="shared" si="157"/>
        <v>2.8432327780980096</v>
      </c>
      <c r="V935" s="41">
        <f t="shared" si="158"/>
        <v>2.5184950579195835</v>
      </c>
      <c r="W935" s="43">
        <f t="shared" si="159"/>
        <v>1.4828735836087537</v>
      </c>
      <c r="X935" s="43" t="e">
        <f t="shared" si="160"/>
        <v>#NUM!</v>
      </c>
    </row>
    <row r="936" spans="1:24" ht="15" customHeight="1">
      <c r="A936" s="47"/>
      <c r="B936" s="26">
        <v>6.9</v>
      </c>
      <c r="C936" s="26">
        <f t="shared" si="122"/>
        <v>3.45</v>
      </c>
      <c r="D936" s="27" t="s">
        <v>25</v>
      </c>
      <c r="E936" s="27" t="s">
        <v>107</v>
      </c>
      <c r="F936" s="28" t="s">
        <v>34</v>
      </c>
      <c r="G936" s="28" t="s">
        <v>28</v>
      </c>
      <c r="H936" s="28" t="s">
        <v>29</v>
      </c>
      <c r="I936" s="28" t="s">
        <v>36</v>
      </c>
      <c r="J936" s="26">
        <v>2.75</v>
      </c>
      <c r="K936" s="26">
        <v>5.89</v>
      </c>
      <c r="L936" s="26">
        <f t="shared" si="138"/>
        <v>114.18181818181816</v>
      </c>
      <c r="M936" s="29">
        <v>69.7</v>
      </c>
      <c r="N936" s="29">
        <v>100.2</v>
      </c>
      <c r="O936" s="30">
        <f t="shared" si="162"/>
        <v>43.758967001434719</v>
      </c>
      <c r="P936" s="31">
        <v>3.04</v>
      </c>
      <c r="Q936" s="11">
        <v>0.05</v>
      </c>
      <c r="R936" s="33">
        <f t="shared" si="161"/>
        <v>-98.35526315789474</v>
      </c>
      <c r="S936" s="37">
        <f t="shared" si="154"/>
        <v>1.4393326938302626</v>
      </c>
      <c r="T936" s="37">
        <f t="shared" si="163"/>
        <v>3.057596954242952</v>
      </c>
      <c r="U936" s="42">
        <f t="shared" si="157"/>
        <v>2.8432327780980096</v>
      </c>
      <c r="V936" s="41">
        <f t="shared" si="158"/>
        <v>2.6410670612487763</v>
      </c>
      <c r="W936" s="43">
        <f t="shared" si="159"/>
        <v>1.4828735836087537</v>
      </c>
      <c r="X936" s="43" t="e">
        <f t="shared" si="160"/>
        <v>#NUM!</v>
      </c>
    </row>
    <row r="937" spans="1:24" ht="15" customHeight="1">
      <c r="A937" s="45" t="s">
        <v>297</v>
      </c>
      <c r="B937" s="26">
        <v>2.7</v>
      </c>
      <c r="C937" s="26">
        <f t="shared" si="122"/>
        <v>1.35</v>
      </c>
      <c r="D937" s="27" t="s">
        <v>25</v>
      </c>
      <c r="E937" s="27" t="s">
        <v>107</v>
      </c>
      <c r="F937" s="28" t="s">
        <v>34</v>
      </c>
      <c r="G937" s="28" t="s">
        <v>38</v>
      </c>
      <c r="H937" s="28" t="s">
        <v>29</v>
      </c>
      <c r="I937" s="28" t="s">
        <v>36</v>
      </c>
      <c r="J937" s="26">
        <v>2.75</v>
      </c>
      <c r="K937" s="26">
        <v>3.49</v>
      </c>
      <c r="L937" s="26">
        <f t="shared" si="138"/>
        <v>26.909090909090917</v>
      </c>
      <c r="M937" s="29">
        <v>69.7</v>
      </c>
      <c r="N937" s="29">
        <v>79.5</v>
      </c>
      <c r="O937" s="30">
        <f t="shared" si="162"/>
        <v>14.060258249641317</v>
      </c>
      <c r="P937" s="31">
        <v>3.04</v>
      </c>
      <c r="Q937" s="11">
        <v>1.7</v>
      </c>
      <c r="R937" s="33">
        <f t="shared" si="161"/>
        <v>-44.078947368421055</v>
      </c>
      <c r="S937" s="37">
        <f t="shared" si="154"/>
        <v>1.4393326938302626</v>
      </c>
      <c r="T937" s="37">
        <f t="shared" ref="T937:T943" si="164">LOG10(L937*10)</f>
        <v>2.4298990259007138</v>
      </c>
      <c r="U937" s="42">
        <f t="shared" si="157"/>
        <v>2.8432327780980096</v>
      </c>
      <c r="V937" s="41">
        <f t="shared" si="158"/>
        <v>2.1479932975944855</v>
      </c>
      <c r="W937" s="43">
        <f t="shared" si="159"/>
        <v>1.4828735836087537</v>
      </c>
      <c r="X937" s="43" t="e">
        <f t="shared" si="160"/>
        <v>#NUM!</v>
      </c>
    </row>
    <row r="938" spans="1:24" ht="15" customHeight="1">
      <c r="A938" s="46"/>
      <c r="B938" s="26">
        <v>3.8</v>
      </c>
      <c r="C938" s="26">
        <f t="shared" si="122"/>
        <v>1.9</v>
      </c>
      <c r="D938" s="27" t="s">
        <v>25</v>
      </c>
      <c r="E938" s="27" t="s">
        <v>107</v>
      </c>
      <c r="F938" s="28" t="s">
        <v>34</v>
      </c>
      <c r="G938" s="28" t="s">
        <v>38</v>
      </c>
      <c r="H938" s="28" t="s">
        <v>29</v>
      </c>
      <c r="I938" s="28" t="s">
        <v>36</v>
      </c>
      <c r="J938" s="26">
        <v>2.75</v>
      </c>
      <c r="K938" s="26">
        <v>3.7</v>
      </c>
      <c r="L938" s="26">
        <f t="shared" si="138"/>
        <v>34.545454545454554</v>
      </c>
      <c r="M938" s="29">
        <v>69.7</v>
      </c>
      <c r="N938" s="29">
        <v>78.5</v>
      </c>
      <c r="O938" s="30">
        <f t="shared" si="162"/>
        <v>12.625538020086077</v>
      </c>
      <c r="P938" s="31">
        <v>3.04</v>
      </c>
      <c r="Q938" s="11">
        <v>0.63</v>
      </c>
      <c r="R938" s="33">
        <f t="shared" si="161"/>
        <v>-79.276315789473685</v>
      </c>
      <c r="S938" s="37">
        <f t="shared" si="154"/>
        <v>1.4393326938302626</v>
      </c>
      <c r="T938" s="37">
        <f t="shared" si="164"/>
        <v>2.5383909114585852</v>
      </c>
      <c r="U938" s="42">
        <f t="shared" si="157"/>
        <v>2.8432327780980096</v>
      </c>
      <c r="V938" s="41">
        <f t="shared" si="158"/>
        <v>2.1012498940521591</v>
      </c>
      <c r="W938" s="43">
        <f t="shared" si="159"/>
        <v>1.4828735836087537</v>
      </c>
      <c r="X938" s="43" t="e">
        <f t="shared" si="160"/>
        <v>#NUM!</v>
      </c>
    </row>
    <row r="939" spans="1:24" ht="15" customHeight="1">
      <c r="A939" s="46"/>
      <c r="B939" s="26">
        <v>2.9</v>
      </c>
      <c r="C939" s="26">
        <f t="shared" si="122"/>
        <v>1.45</v>
      </c>
      <c r="D939" s="27" t="s">
        <v>25</v>
      </c>
      <c r="E939" s="27" t="s">
        <v>107</v>
      </c>
      <c r="F939" s="28" t="s">
        <v>34</v>
      </c>
      <c r="G939" s="28" t="s">
        <v>28</v>
      </c>
      <c r="H939" s="28" t="s">
        <v>29</v>
      </c>
      <c r="I939" s="28" t="s">
        <v>36</v>
      </c>
      <c r="J939" s="26">
        <v>2.75</v>
      </c>
      <c r="K939" s="26">
        <v>4.2300000000000004</v>
      </c>
      <c r="L939" s="26">
        <f t="shared" si="138"/>
        <v>53.818181818181834</v>
      </c>
      <c r="M939" s="29">
        <v>69.7</v>
      </c>
      <c r="N939" s="29">
        <v>85.2</v>
      </c>
      <c r="O939" s="30">
        <f t="shared" si="162"/>
        <v>22.238163558106169</v>
      </c>
      <c r="P939" s="31">
        <v>3.04</v>
      </c>
      <c r="Q939" s="11">
        <v>1.53</v>
      </c>
      <c r="R939" s="33">
        <f t="shared" si="161"/>
        <v>-49.671052631578952</v>
      </c>
      <c r="S939" s="37">
        <f t="shared" si="154"/>
        <v>1.4393326938302626</v>
      </c>
      <c r="T939" s="37">
        <f t="shared" si="164"/>
        <v>2.7309290215646951</v>
      </c>
      <c r="U939" s="42">
        <f t="shared" si="157"/>
        <v>2.8432327780980096</v>
      </c>
      <c r="V939" s="41">
        <f t="shared" si="158"/>
        <v>2.3470989200722823</v>
      </c>
      <c r="W939" s="43">
        <f t="shared" si="159"/>
        <v>1.4828735836087537</v>
      </c>
      <c r="X939" s="43" t="e">
        <f t="shared" si="160"/>
        <v>#NUM!</v>
      </c>
    </row>
    <row r="940" spans="1:24" ht="15" customHeight="1">
      <c r="A940" s="46" t="s">
        <v>295</v>
      </c>
      <c r="B940" s="26">
        <v>4.3</v>
      </c>
      <c r="C940" s="26">
        <f t="shared" si="122"/>
        <v>2.15</v>
      </c>
      <c r="D940" s="27" t="s">
        <v>25</v>
      </c>
      <c r="E940" s="27" t="s">
        <v>107</v>
      </c>
      <c r="F940" s="28" t="s">
        <v>34</v>
      </c>
      <c r="G940" s="28" t="s">
        <v>28</v>
      </c>
      <c r="H940" s="28" t="s">
        <v>29</v>
      </c>
      <c r="I940" s="28" t="s">
        <v>36</v>
      </c>
      <c r="J940" s="26">
        <v>2.75</v>
      </c>
      <c r="K940" s="26">
        <v>4.54</v>
      </c>
      <c r="L940" s="26">
        <f t="shared" si="138"/>
        <v>65.090909090909093</v>
      </c>
      <c r="M940" s="29">
        <v>69.7</v>
      </c>
      <c r="N940" s="29">
        <v>90.9</v>
      </c>
      <c r="O940" s="30">
        <f t="shared" si="162"/>
        <v>30.416068866571024</v>
      </c>
      <c r="P940" s="31">
        <v>3.04</v>
      </c>
      <c r="Q940" s="11" t="s">
        <v>31</v>
      </c>
      <c r="R940" s="33" t="e">
        <f t="shared" si="161"/>
        <v>#VALUE!</v>
      </c>
      <c r="S940" s="37">
        <f t="shared" ref="S940:S943" si="165">LOG10(J940*10)</f>
        <v>1.4393326938302626</v>
      </c>
      <c r="T940" s="37">
        <f t="shared" si="164"/>
        <v>2.8135203371496305</v>
      </c>
      <c r="U940" s="42">
        <f t="shared" si="157"/>
        <v>2.8432327780980096</v>
      </c>
      <c r="V940" s="41">
        <f t="shared" si="158"/>
        <v>2.4831030828307421</v>
      </c>
      <c r="W940" s="43">
        <f t="shared" ref="W940:W943" si="166">LOG10(P940*10)</f>
        <v>1.4828735836087537</v>
      </c>
      <c r="X940" s="43" t="e">
        <f t="shared" si="160"/>
        <v>#VALUE!</v>
      </c>
    </row>
    <row r="941" spans="1:24" ht="15" customHeight="1">
      <c r="A941" s="46"/>
      <c r="B941" s="26">
        <v>4.5999999999999996</v>
      </c>
      <c r="C941" s="26">
        <f t="shared" si="122"/>
        <v>2.2999999999999998</v>
      </c>
      <c r="D941" s="27" t="s">
        <v>25</v>
      </c>
      <c r="E941" s="27" t="s">
        <v>107</v>
      </c>
      <c r="F941" s="28" t="s">
        <v>34</v>
      </c>
      <c r="G941" s="28" t="s">
        <v>28</v>
      </c>
      <c r="H941" s="28" t="s">
        <v>29</v>
      </c>
      <c r="I941" s="28" t="s">
        <v>36</v>
      </c>
      <c r="J941" s="26">
        <v>2.75</v>
      </c>
      <c r="K941" s="26">
        <v>4.71</v>
      </c>
      <c r="L941" s="26">
        <f t="shared" si="138"/>
        <v>71.27272727272728</v>
      </c>
      <c r="M941" s="29">
        <v>69.7</v>
      </c>
      <c r="N941" s="29">
        <v>90.7</v>
      </c>
      <c r="O941" s="30">
        <f t="shared" si="162"/>
        <v>30.129124820659968</v>
      </c>
      <c r="P941" s="31">
        <v>3.04</v>
      </c>
      <c r="Q941" s="11">
        <v>0.1</v>
      </c>
      <c r="R941" s="33">
        <f t="shared" si="161"/>
        <v>-96.710526315789465</v>
      </c>
      <c r="S941" s="37">
        <f t="shared" si="165"/>
        <v>1.4393326938302626</v>
      </c>
      <c r="T941" s="37">
        <f t="shared" si="164"/>
        <v>2.8529233775262135</v>
      </c>
      <c r="U941" s="42">
        <f t="shared" si="157"/>
        <v>2.8432327780980096</v>
      </c>
      <c r="V941" s="41">
        <f t="shared" si="158"/>
        <v>2.47898651663591</v>
      </c>
      <c r="W941" s="43">
        <f t="shared" si="166"/>
        <v>1.4828735836087537</v>
      </c>
      <c r="X941" s="43" t="e">
        <f t="shared" si="160"/>
        <v>#NUM!</v>
      </c>
    </row>
    <row r="942" spans="1:24" ht="15" customHeight="1">
      <c r="A942" s="46"/>
      <c r="B942" s="26">
        <v>3</v>
      </c>
      <c r="C942" s="26">
        <f t="shared" si="122"/>
        <v>1.5</v>
      </c>
      <c r="D942" s="27" t="s">
        <v>25</v>
      </c>
      <c r="E942" s="27" t="s">
        <v>107</v>
      </c>
      <c r="F942" s="28" t="s">
        <v>34</v>
      </c>
      <c r="G942" s="28" t="s">
        <v>37</v>
      </c>
      <c r="H942" s="28" t="s">
        <v>29</v>
      </c>
      <c r="I942" s="28" t="s">
        <v>36</v>
      </c>
      <c r="J942" s="26">
        <v>2.75</v>
      </c>
      <c r="K942" s="26">
        <v>3.82</v>
      </c>
      <c r="L942" s="26">
        <f t="shared" si="138"/>
        <v>38.909090909090907</v>
      </c>
      <c r="M942" s="29">
        <v>69.7</v>
      </c>
      <c r="N942" s="29">
        <v>84.5</v>
      </c>
      <c r="O942" s="30">
        <f t="shared" si="162"/>
        <v>21.233859397417497</v>
      </c>
      <c r="P942" s="31">
        <v>3.04</v>
      </c>
      <c r="Q942" s="11">
        <v>1.74</v>
      </c>
      <c r="R942" s="33">
        <f t="shared" si="161"/>
        <v>-42.763157894736842</v>
      </c>
      <c r="S942" s="37">
        <f t="shared" si="165"/>
        <v>1.4393326938302626</v>
      </c>
      <c r="T942" s="37">
        <f t="shared" si="164"/>
        <v>2.5900510838549469</v>
      </c>
      <c r="U942" s="42">
        <f t="shared" si="157"/>
        <v>2.8432327780980096</v>
      </c>
      <c r="V942" s="41">
        <f t="shared" si="158"/>
        <v>2.3270289372969479</v>
      </c>
      <c r="W942" s="43">
        <f t="shared" si="166"/>
        <v>1.4828735836087537</v>
      </c>
      <c r="X942" s="43" t="e">
        <f t="shared" si="160"/>
        <v>#NUM!</v>
      </c>
    </row>
    <row r="943" spans="1:24" ht="15" customHeight="1">
      <c r="A943" s="47"/>
      <c r="B943" s="26">
        <v>4.5</v>
      </c>
      <c r="C943" s="26">
        <f t="shared" si="122"/>
        <v>2.25</v>
      </c>
      <c r="D943" s="27" t="s">
        <v>25</v>
      </c>
      <c r="E943" s="27" t="s">
        <v>107</v>
      </c>
      <c r="F943" s="28" t="s">
        <v>34</v>
      </c>
      <c r="G943" s="28" t="s">
        <v>37</v>
      </c>
      <c r="H943" s="28" t="s">
        <v>29</v>
      </c>
      <c r="I943" s="28" t="s">
        <v>36</v>
      </c>
      <c r="J943" s="26">
        <v>2.75</v>
      </c>
      <c r="K943" s="26">
        <v>4.32</v>
      </c>
      <c r="L943" s="26">
        <f t="shared" si="138"/>
        <v>57.090909090909101</v>
      </c>
      <c r="M943" s="29">
        <v>69.7</v>
      </c>
      <c r="N943" s="29">
        <v>87.7</v>
      </c>
      <c r="O943" s="30">
        <f t="shared" si="162"/>
        <v>25.82496413199426</v>
      </c>
      <c r="P943" s="31">
        <v>3.04</v>
      </c>
      <c r="Q943" s="11">
        <v>0.6</v>
      </c>
      <c r="R943" s="33">
        <f t="shared" si="161"/>
        <v>-80.263157894736835</v>
      </c>
      <c r="S943" s="37">
        <f t="shared" si="165"/>
        <v>1.4393326938302626</v>
      </c>
      <c r="T943" s="37">
        <f t="shared" si="164"/>
        <v>2.7565669585789712</v>
      </c>
      <c r="U943" s="42">
        <f t="shared" si="157"/>
        <v>2.8432327780980096</v>
      </c>
      <c r="V943" s="41">
        <f t="shared" si="158"/>
        <v>2.4120397270052965</v>
      </c>
      <c r="W943" s="43">
        <f t="shared" si="166"/>
        <v>1.4828735836087537</v>
      </c>
      <c r="X943" s="43" t="e">
        <f t="shared" ref="X943" si="167">LOG10(R943*10)</f>
        <v>#NUM!</v>
      </c>
    </row>
  </sheetData>
  <mergeCells count="153">
    <mergeCell ref="A350:A352"/>
    <mergeCell ref="A353:A356"/>
    <mergeCell ref="A153:A155"/>
    <mergeCell ref="A156:A161"/>
    <mergeCell ref="A162:A167"/>
    <mergeCell ref="A168:A179"/>
    <mergeCell ref="A180:A185"/>
    <mergeCell ref="A186:A187"/>
    <mergeCell ref="A188:A195"/>
    <mergeCell ref="A196:A197"/>
    <mergeCell ref="A198:A199"/>
    <mergeCell ref="A200:A201"/>
    <mergeCell ref="A202:A205"/>
    <mergeCell ref="A206:A209"/>
    <mergeCell ref="A210:A212"/>
    <mergeCell ref="A213:A215"/>
    <mergeCell ref="A216:A219"/>
    <mergeCell ref="A220:A251"/>
    <mergeCell ref="A252:A256"/>
    <mergeCell ref="A304:A307"/>
    <mergeCell ref="A308:A311"/>
    <mergeCell ref="A312:A314"/>
    <mergeCell ref="A315:A318"/>
    <mergeCell ref="A319:A335"/>
    <mergeCell ref="A137:A140"/>
    <mergeCell ref="A141:A145"/>
    <mergeCell ref="A146:A148"/>
    <mergeCell ref="A149:A152"/>
    <mergeCell ref="A96:A99"/>
    <mergeCell ref="A100:A103"/>
    <mergeCell ref="A104:A109"/>
    <mergeCell ref="A110:A111"/>
    <mergeCell ref="A112:A117"/>
    <mergeCell ref="A118:A123"/>
    <mergeCell ref="A124:A126"/>
    <mergeCell ref="A127:A133"/>
    <mergeCell ref="A134:A136"/>
    <mergeCell ref="A257:A259"/>
    <mergeCell ref="A357:A359"/>
    <mergeCell ref="A360:A362"/>
    <mergeCell ref="A363:A364"/>
    <mergeCell ref="A365:A374"/>
    <mergeCell ref="A2:A4"/>
    <mergeCell ref="A5:A16"/>
    <mergeCell ref="A17:A22"/>
    <mergeCell ref="A23:A26"/>
    <mergeCell ref="A27:A31"/>
    <mergeCell ref="A32:A36"/>
    <mergeCell ref="A37:A40"/>
    <mergeCell ref="A41:A43"/>
    <mergeCell ref="A44:A60"/>
    <mergeCell ref="A61:A63"/>
    <mergeCell ref="A64:A66"/>
    <mergeCell ref="A67:A69"/>
    <mergeCell ref="A70:A72"/>
    <mergeCell ref="A73:A80"/>
    <mergeCell ref="A81:A83"/>
    <mergeCell ref="A84:A89"/>
    <mergeCell ref="A90:A92"/>
    <mergeCell ref="A93:A95"/>
    <mergeCell ref="A336:A338"/>
    <mergeCell ref="A339:A340"/>
    <mergeCell ref="A341:A343"/>
    <mergeCell ref="A344:A349"/>
    <mergeCell ref="A260:A263"/>
    <mergeCell ref="A264:A266"/>
    <mergeCell ref="A267:A270"/>
    <mergeCell ref="A271:A276"/>
    <mergeCell ref="A277:A280"/>
    <mergeCell ref="A281:A288"/>
    <mergeCell ref="A289:A296"/>
    <mergeCell ref="A297:A300"/>
    <mergeCell ref="A301:A303"/>
    <mergeCell ref="A375:A379"/>
    <mergeCell ref="A380:A388"/>
    <mergeCell ref="A419:A427"/>
    <mergeCell ref="A428:A433"/>
    <mergeCell ref="A434:A442"/>
    <mergeCell ref="A443:A454"/>
    <mergeCell ref="A455:A457"/>
    <mergeCell ref="A458:A461"/>
    <mergeCell ref="A462:A466"/>
    <mergeCell ref="A389:A393"/>
    <mergeCell ref="A394:A405"/>
    <mergeCell ref="A406:A410"/>
    <mergeCell ref="A411:A418"/>
    <mergeCell ref="A467:A472"/>
    <mergeCell ref="A473:A484"/>
    <mergeCell ref="A572:A575"/>
    <mergeCell ref="A576:A580"/>
    <mergeCell ref="A734:A736"/>
    <mergeCell ref="A737:A742"/>
    <mergeCell ref="A743:A751"/>
    <mergeCell ref="A540:A545"/>
    <mergeCell ref="A547:A549"/>
    <mergeCell ref="A550:A559"/>
    <mergeCell ref="A560:A565"/>
    <mergeCell ref="A566:A571"/>
    <mergeCell ref="A662:A668"/>
    <mergeCell ref="A669:A676"/>
    <mergeCell ref="A677:A682"/>
    <mergeCell ref="A683:A688"/>
    <mergeCell ref="A689:A697"/>
    <mergeCell ref="A698:A706"/>
    <mergeCell ref="A707:A733"/>
    <mergeCell ref="A614:A632"/>
    <mergeCell ref="A633:A638"/>
    <mergeCell ref="A639:A642"/>
    <mergeCell ref="A643:A646"/>
    <mergeCell ref="A647:A652"/>
    <mergeCell ref="A794:A799"/>
    <mergeCell ref="A800:A801"/>
    <mergeCell ref="A802:A809"/>
    <mergeCell ref="A593:A598"/>
    <mergeCell ref="A599:A607"/>
    <mergeCell ref="A608:A613"/>
    <mergeCell ref="A485:A487"/>
    <mergeCell ref="A488:A505"/>
    <mergeCell ref="A752:A759"/>
    <mergeCell ref="A760:A763"/>
    <mergeCell ref="A764:A782"/>
    <mergeCell ref="A783:A793"/>
    <mergeCell ref="A506:A511"/>
    <mergeCell ref="A512:A523"/>
    <mergeCell ref="A524:A525"/>
    <mergeCell ref="A526:A533"/>
    <mergeCell ref="A534:A539"/>
    <mergeCell ref="A653:A658"/>
    <mergeCell ref="A659:A661"/>
    <mergeCell ref="A581:A584"/>
    <mergeCell ref="A585:A592"/>
    <mergeCell ref="A876:A880"/>
    <mergeCell ref="A881:A887"/>
    <mergeCell ref="A888:A891"/>
    <mergeCell ref="A937:A943"/>
    <mergeCell ref="A810:A814"/>
    <mergeCell ref="A815:A823"/>
    <mergeCell ref="A824:A825"/>
    <mergeCell ref="A830:A831"/>
    <mergeCell ref="A832:A838"/>
    <mergeCell ref="A826:A829"/>
    <mergeCell ref="A919:A928"/>
    <mergeCell ref="A909:A910"/>
    <mergeCell ref="A911:A918"/>
    <mergeCell ref="A839:A844"/>
    <mergeCell ref="A845:A849"/>
    <mergeCell ref="A850:A853"/>
    <mergeCell ref="A892:A908"/>
    <mergeCell ref="A854:A859"/>
    <mergeCell ref="A860:A865"/>
    <mergeCell ref="A866:A870"/>
    <mergeCell ref="A871:A875"/>
    <mergeCell ref="A929:A936"/>
  </mergeCells>
  <phoneticPr fontId="4" type="noConversion"/>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Berfin Dolunay Karaçay</cp:lastModifiedBy>
  <cp:revision/>
  <dcterms:created xsi:type="dcterms:W3CDTF">2006-09-16T00:00:00Z</dcterms:created>
  <dcterms:modified xsi:type="dcterms:W3CDTF">2026-04-06T12:23:36Z</dcterms:modified>
  <cp:category/>
  <cp:contentStatus/>
</cp:coreProperties>
</file>